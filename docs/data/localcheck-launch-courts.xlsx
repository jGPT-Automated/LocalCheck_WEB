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56cf2120f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da6f27030e4804"/>
    <x:sheet xmlns:r="http://schemas.openxmlformats.org/officeDocument/2006/relationships" name="Launch Courts" sheetId="2" r:id="R4b0d8251bdeb41ab"/>
    <x:sheet xmlns:r="http://schemas.openxmlformats.org/officeDocument/2006/relationships" name="Naming Rules" sheetId="3" r:id="Re63de662fe7843b7"/>
    <x:sheet xmlns:r="http://schemas.openxmlformats.org/officeDocument/2006/relationships" name="Source Notes" sheetId="4" r:id="R300e54cefd7a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0"/>
    <x:numFmt numFmtId="202" formatCode="0.0"/>
  </x:numFmts>
  <x:fonts count="22">
    <x:font>
      <x:sz val="11"/>
      <x:name val="Carlito"/>
    </x:font>
    <x:font>
      <x:b/>
      <x:sz val="22"/>
      <x:color rgb="FFF2F2F6"/>
      <x:name val="Aptos Display"/>
    </x:font>
    <x:font>
      <x:i/>
      <x:sz val="10"/>
      <x:color rgb="FFB8B8C8"/>
      <x:name val="Carlito"/>
    </x:font>
    <x:font>
      <x:b/>
      <x:sz val="9"/>
      <x:color rgb="FFF2F2F6"/>
      <x:name val="Carlito"/>
    </x:font>
    <x:font>
      <x:b/>
      <x:sz val="20"/>
      <x:color rgb="FFF2F2F6"/>
      <x:name val="Carlito"/>
    </x:font>
    <x:font>
      <x:b/>
      <x:sz val="11"/>
      <x:color rgb="FFFFFFFF"/>
      <x:name val="Carlito"/>
    </x:font>
    <x:font>
      <x:b/>
      <x:sz val="10"/>
      <x:color rgb="FFF2F2F6"/>
      <x:name val="Carlito"/>
    </x:font>
    <x:font>
      <x:sz val="10"/>
      <x:color rgb="FF222228"/>
      <x:name val="Carlito"/>
    </x:font>
    <x:font>
      <x:b/>
      <x:sz val="11"/>
      <x:color rgb="FFF2F2F6"/>
      <x:name val="Carlito"/>
    </x:font>
    <x:font>
      <x:sz val="11"/>
      <x:color rgb="FF222228"/>
      <x:name val="Carlito"/>
    </x:font>
    <x:font>
      <x:b/>
      <x:sz val="22"/>
      <x:color rgb="FFF2F2F6"/>
      <x:name val="Aptos"/>
    </x:font>
    <x:font>
      <x:i/>
      <x:sz val="10"/>
      <x:color rgb="FFB8B8C8"/>
      <x:name val="Aptos"/>
    </x:font>
    <x:font>
      <x:sz val="11"/>
      <x:name val="Aptos"/>
    </x:font>
    <x:font>
      <x:b/>
      <x:sz val="9"/>
      <x:color rgb="FFF2F2F6"/>
      <x:name val="Aptos"/>
    </x:font>
    <x:font>
      <x:b/>
      <x:sz val="20"/>
      <x:color rgb="FFF2F2F6"/>
      <x:name val="Aptos"/>
    </x:font>
    <x:font>
      <x:b/>
      <x:sz val="11"/>
      <x:color rgb="FFFFFFFF"/>
      <x:name val="Aptos"/>
    </x:font>
    <x:font>
      <x:b/>
      <x:sz val="10"/>
      <x:color rgb="FFF2F2F6"/>
      <x:name val="Aptos"/>
    </x:font>
    <x:font>
      <x:sz val="10"/>
      <x:color rgb="FF222228"/>
      <x:name val="Aptos"/>
    </x:font>
    <x:font>
      <x:b/>
      <x:sz val="11"/>
      <x:color rgb="FFF2F2F6"/>
      <x:name val="Aptos"/>
    </x:font>
    <x:font>
      <x:sz val="11"/>
      <x:color rgb="FF222228"/>
      <x:name val="Aptos"/>
    </x:font>
    <x:font>
      <x:sz val="9"/>
      <x:color rgb="FF222228"/>
      <x:name val="Aptos"/>
    </x:font>
    <x:font>
      <x:b/>
      <x:sz val="12"/>
      <x:color rgb="FFA735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D0D10"/>
      </x:patternFill>
    </x:fill>
    <x:fill>
      <x:patternFill patternType="solid">
        <x:fgColor rgb="FF1E1E26"/>
      </x:patternFill>
    </x:fill>
    <x:fill>
      <x:patternFill patternType="solid">
        <x:fgColor rgb="FF151519"/>
      </x:patternFill>
    </x:fill>
    <x:fill>
      <x:patternFill patternType="solid">
        <x:fgColor rgb="FFFF5500"/>
      </x:patternFill>
    </x:fill>
    <x:fill>
      <x:patternFill patternType="solid">
        <x:fgColor rgb="FFFFFFFF"/>
      </x:patternFill>
    </x:fill>
    <x:fill>
      <x:patternFill patternType="solid">
        <x:fgColor rgb="FFF4F4F7"/>
      </x:patternFill>
    </x:fill>
    <x:fill>
      <x:patternFill patternType="solid">
        <x:fgColor rgb="FFFFE8DC"/>
      </x:patternFill>
    </x:fill>
  </x:fills>
  <x:borders count="28">
    <x:border/>
    <x:border>
      <x:left style="thin">
        <x:color rgb="FF34343D"/>
      </x:left>
      <x:top style="thin">
        <x:color rgb="FF34343D"/>
      </x:top>
    </x:border>
    <x:border>
      <x:top style="thin">
        <x:color rgb="FF34343D"/>
      </x:top>
    </x:border>
    <x:border>
      <x:right style="thin">
        <x:color rgb="FF34343D"/>
      </x:right>
      <x:top style="thin">
        <x:color rgb="FF34343D"/>
      </x:top>
    </x:border>
    <x:border>
      <x:left style="thin">
        <x:color rgb="FF34343D"/>
      </x:left>
    </x:border>
    <x:border>
      <x:right style="thin">
        <x:color rgb="FF34343D"/>
      </x:right>
    </x:border>
    <x:border>
      <x:left style="thin">
        <x:color rgb="FF34343D"/>
      </x:left>
      <x:bottom style="thin">
        <x:color rgb="FF34343D"/>
      </x:bottom>
    </x:border>
    <x:border>
      <x:bottom style="thin">
        <x:color rgb="FF34343D"/>
      </x:bottom>
    </x:border>
    <x:border>
      <x:right style="thin">
        <x:color rgb="FF34343D"/>
      </x:right>
      <x:bottom style="thin">
        <x:color rgb="FF34343D"/>
      </x:bottom>
    </x:border>
    <x:border>
      <x:bottom style="thin">
        <x:color rgb="FFE6E6EC"/>
      </x:bottom>
    </x:border>
    <x:border>
      <x:top style="thin">
        <x:color rgb="FFE6E6EC"/>
      </x:top>
      <x:bottom style="thin">
        <x:color rgb="FFE6E6EC"/>
      </x:bottom>
    </x:border>
    <x:border>
      <x:top style="thin">
        <x:color rgb="FFE6E6EC"/>
      </x:top>
    </x:border>
    <x:border>
      <x:left style="thin">
        <x:color rgb="FFD9D9E2"/>
      </x:left>
      <x:top style="thin">
        <x:color rgb="FFD9D9E2"/>
      </x:top>
    </x:border>
    <x:border>
      <x:top style="thin">
        <x:color rgb="FFD9D9E2"/>
      </x:top>
    </x:border>
    <x:border>
      <x:right style="thin">
        <x:color rgb="FFD9D9E2"/>
      </x:right>
      <x:top style="thin">
        <x:color rgb="FFD9D9E2"/>
      </x:top>
    </x:border>
    <x:border>
      <x:left style="thin">
        <x:color rgb="FFD9D9E2"/>
      </x:left>
    </x:border>
    <x:border>
      <x:right style="thin">
        <x:color rgb="FFD9D9E2"/>
      </x:right>
    </x:border>
    <x:border>
      <x:left style="thin">
        <x:color rgb="FFD9D9E2"/>
      </x:left>
      <x:bottom style="thin">
        <x:color rgb="FFD9D9E2"/>
      </x:bottom>
    </x:border>
    <x:border>
      <x:bottom style="thin">
        <x:color rgb="FFD9D9E2"/>
      </x:bottom>
    </x:border>
    <x:border>
      <x:right style="thin">
        <x:color rgb="FFD9D9E2"/>
      </x:right>
      <x:bottom style="thin">
        <x:color rgb="FFD9D9E2"/>
      </x:bottom>
    </x:border>
    <x:border>
      <x:left style="thin">
        <x:color rgb="FFFFB58F"/>
      </x:left>
      <x:top style="thin">
        <x:color rgb="FFFFB58F"/>
      </x:top>
    </x:border>
    <x:border>
      <x:top style="thin">
        <x:color rgb="FFFFB58F"/>
      </x:top>
    </x:border>
    <x:border>
      <x:right style="thin">
        <x:color rgb="FFFFB58F"/>
      </x:right>
      <x:top style="thin">
        <x:color rgb="FFFFB58F"/>
      </x:top>
    </x:border>
    <x:border>
      <x:left style="thin">
        <x:color rgb="FFFFB58F"/>
      </x:left>
    </x:border>
    <x:border>
      <x:right style="thin">
        <x:color rgb="FFFFB58F"/>
      </x:right>
    </x:border>
    <x:border>
      <x:left style="thin">
        <x:color rgb="FFFFB58F"/>
      </x:left>
      <x:bottom style="thin">
        <x:color rgb="FFFFB58F"/>
      </x:bottom>
    </x:border>
    <x:border>
      <x:bottom style="thin">
        <x:color rgb="FFFFB58F"/>
      </x:bottom>
    </x:border>
    <x:border>
      <x:right style="thin">
        <x:color rgb="FFFFB58F"/>
      </x:right>
      <x:bottom style="thin">
        <x:color rgb="FFFFB58F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9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8" xfId="0" applyNumberFormat="1" applyFont="1" applyFill="1" applyBorder="1" applyAlignment="1">
      <x:alignment vertical="center" wrapText="1"/>
    </x:xf>
    <x:xf numFmtId="0" fontId="7" fillId="7" borderId="1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20" xfId="0" applyNumberFormat="1" applyFont="1" applyFill="1" applyBorder="1"/>
    <x:xf numFmtId="0" fontId="9" fillId="8" borderId="21" xfId="0" applyNumberFormat="1" applyFont="1" applyFill="1" applyBorder="1"/>
    <x:xf numFmtId="0" fontId="9" fillId="8" borderId="22" xfId="0" applyNumberFormat="1" applyFont="1" applyFill="1" applyBorder="1"/>
    <x:xf numFmtId="0" fontId="9" fillId="8" borderId="23" xfId="0" applyNumberFormat="1" applyFont="1" applyFill="1" applyBorder="1"/>
    <x:xf numFmtId="0" fontId="9" fillId="8" borderId="24" xfId="0" applyNumberFormat="1" applyFont="1" applyFill="1" applyBorder="1"/>
    <x:xf numFmtId="0" fontId="9" fillId="8" borderId="25" xfId="0" applyNumberFormat="1" applyFont="1" applyFill="1" applyBorder="1"/>
    <x:xf numFmtId="0" fontId="9" fillId="8" borderId="26" xfId="0" applyNumberFormat="1" applyFont="1" applyFill="1" applyBorder="1"/>
    <x:xf numFmtId="0" fontId="9" fillId="8" borderId="27" xfId="0" applyNumberFormat="1" applyFont="1" applyFill="1" applyBorder="1"/>
    <x:xf numFmtId="0" fontId="9" fillId="8" borderId="20" xfId="0" applyNumberFormat="1" applyFont="1" applyFill="1" applyBorder="1" applyAlignment="1">
      <x:alignment wrapText="1"/>
    </x:xf>
    <x:xf numFmtId="0" fontId="9" fillId="8" borderId="21" xfId="0" applyNumberFormat="1" applyFont="1" applyFill="1" applyBorder="1" applyAlignment="1">
      <x:alignment wrapText="1"/>
    </x:xf>
    <x:xf numFmtId="0" fontId="9" fillId="8" borderId="22" xfId="0" applyNumberFormat="1" applyFont="1" applyFill="1" applyBorder="1" applyAlignment="1">
      <x:alignment wrapText="1"/>
    </x:xf>
    <x:xf numFmtId="0" fontId="9" fillId="8" borderId="23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24" xfId="0" applyNumberFormat="1" applyFont="1" applyFill="1" applyBorder="1" applyAlignment="1">
      <x:alignment wrapText="1"/>
    </x:xf>
    <x:xf numFmtId="0" fontId="9" fillId="8" borderId="25" xfId="0" applyNumberFormat="1" applyFont="1" applyFill="1" applyBorder="1" applyAlignment="1">
      <x:alignment wrapText="1"/>
    </x:xf>
    <x:xf numFmtId="0" fontId="9" fillId="8" borderId="26" xfId="0" applyNumberFormat="1" applyFont="1" applyFill="1" applyBorder="1" applyAlignment="1">
      <x:alignment wrapText="1"/>
    </x:xf>
    <x:xf numFmtId="0" fontId="9" fillId="8" borderId="27" xfId="0" applyNumberFormat="1" applyFont="1" applyFill="1" applyBorder="1" applyAlignment="1">
      <x:alignment wrapText="1"/>
    </x:xf>
    <x:xf numFmtId="0" fontId="9" fillId="8" borderId="20" xfId="0" applyNumberFormat="1" applyFont="1" applyFill="1" applyBorder="1" applyAlignment="1">
      <x:alignment vertical="center" wrapText="1"/>
    </x:xf>
    <x:xf numFmtId="0" fontId="9" fillId="8" borderId="21" xfId="0" applyNumberFormat="1" applyFont="1" applyFill="1" applyBorder="1" applyAlignment="1">
      <x:alignment vertical="center" wrapText="1"/>
    </x:xf>
    <x:xf numFmtId="0" fontId="9" fillId="8" borderId="22" xfId="0" applyNumberFormat="1" applyFont="1" applyFill="1" applyBorder="1" applyAlignment="1">
      <x:alignment vertical="center" wrapText="1"/>
    </x:xf>
    <x:xf numFmtId="0" fontId="9" fillId="8" borderId="23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24" xfId="0" applyNumberFormat="1" applyFont="1" applyFill="1" applyBorder="1" applyAlignment="1">
      <x:alignment vertical="center" wrapText="1"/>
    </x:xf>
    <x:xf numFmtId="0" fontId="9" fillId="8" borderId="25" xfId="0" applyNumberFormat="1" applyFont="1" applyFill="1" applyBorder="1" applyAlignment="1">
      <x:alignment vertical="center" wrapText="1"/>
    </x:xf>
    <x:xf numFmtId="0" fontId="9" fillId="8" borderId="26" xfId="0" applyNumberFormat="1" applyFont="1" applyFill="1" applyBorder="1" applyAlignment="1">
      <x:alignment vertical="center" wrapText="1"/>
    </x:xf>
    <x:xf numFmtId="0" fontId="9" fillId="8" borderId="27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4" fillId="4" borderId="2" xfId="0" applyNumberFormat="1" applyFont="1" applyFill="1" applyBorder="1" applyAlignment="1">
      <x:alignment horizontal="center" vertical="center"/>
    </x:xf>
    <x:xf numFmtId="200" fontId="14" fillId="4" borderId="3" xfId="0" applyNumberFormat="1" applyFont="1" applyFill="1" applyBorder="1" applyAlignment="1">
      <x:alignment horizontal="center" vertical="center"/>
    </x:xf>
    <x:xf numFmtId="200" fontId="14" fillId="4" borderId="4" xfId="0" applyNumberFormat="1" applyFont="1" applyFill="1" applyBorder="1" applyAlignment="1">
      <x:alignment horizontal="center" vertical="center"/>
    </x:xf>
    <x:xf numFmtId="200" fontId="14" fillId="4" borderId="0" xfId="0" applyNumberFormat="1" applyFont="1" applyFill="1" applyBorder="1" applyAlignment="1">
      <x:alignment horizontal="center" vertical="center"/>
    </x:xf>
    <x:xf numFmtId="200" fontId="14" fillId="4" borderId="5" xfId="0" applyNumberFormat="1" applyFont="1" applyFill="1" applyBorder="1" applyAlignment="1">
      <x:alignment horizontal="center" vertical="center"/>
    </x:xf>
    <x:xf numFmtId="200" fontId="14" fillId="4" borderId="6" xfId="0" applyNumberFormat="1" applyFont="1" applyFill="1" applyBorder="1" applyAlignment="1">
      <x:alignment horizontal="center" vertical="center"/>
    </x:xf>
    <x:xf numFmtId="200" fontId="14" fillId="4" borderId="7" xfId="0" applyNumberFormat="1" applyFont="1" applyFill="1" applyBorder="1" applyAlignment="1">
      <x:alignment horizontal="center" vertical="center"/>
    </x:xf>
    <x:xf numFmtId="200" fontId="14" fillId="4" borderId="8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/>
    <x:xf numFmtId="0" fontId="16" fillId="3" borderId="0" xfId="0" applyNumberFormat="1" applyFont="1" applyFill="1" applyBorder="1" applyAlignment="1">
      <x:alignment horizontal="center"/>
    </x:xf>
    <x:xf numFmtId="0" fontId="16" fillId="3" borderId="0" xfId="0" applyNumberFormat="1" applyFont="1" applyFill="1" applyBorder="1"/>
    <x:xf numFmtId="0" fontId="17" fillId="6" borderId="9" xfId="0" applyNumberFormat="1" applyFont="1" applyFill="1" applyBorder="1"/>
    <x:xf numFmtId="0" fontId="17" fillId="6" borderId="9" xfId="0" applyNumberFormat="1" applyFont="1" applyFill="1" applyBorder="1" applyAlignment="1">
      <x:alignment horizontal="center"/>
    </x:xf>
    <x:xf numFmtId="0" fontId="17" fillId="6" borderId="10" xfId="0" applyNumberFormat="1" applyFont="1" applyFill="1" applyBorder="1"/>
    <x:xf numFmtId="0" fontId="17" fillId="6" borderId="10" xfId="0" applyNumberFormat="1" applyFont="1" applyFill="1" applyBorder="1" applyAlignment="1">
      <x:alignment horizontal="center"/>
    </x:xf>
    <x:xf numFmtId="0" fontId="17" fillId="6" borderId="11" xfId="0" applyNumberFormat="1" applyFont="1" applyFill="1" applyBorder="1"/>
    <x:xf numFmtId="0" fontId="17" fillId="6" borderId="11" xfId="0" applyNumberFormat="1" applyFont="1" applyFill="1" applyBorder="1" applyAlignment="1">
      <x:alignment horizontal="center"/>
    </x:xf>
    <x:xf numFmtId="0" fontId="17" fillId="7" borderId="12" xfId="0" applyNumberFormat="1" applyFont="1" applyFill="1" applyBorder="1" applyAlignment="1">
      <x:alignment vertical="center" wrapText="1"/>
    </x:xf>
    <x:xf numFmtId="0" fontId="17" fillId="7" borderId="13" xfId="0" applyNumberFormat="1" applyFont="1" applyFill="1" applyBorder="1" applyAlignment="1">
      <x:alignment vertical="center" wrapText="1"/>
    </x:xf>
    <x:xf numFmtId="0" fontId="17" fillId="7" borderId="14" xfId="0" applyNumberFormat="1" applyFont="1" applyFill="1" applyBorder="1" applyAlignment="1">
      <x:alignment vertical="center" wrapText="1"/>
    </x:xf>
    <x:xf numFmtId="0" fontId="17" fillId="7" borderId="15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center" wrapText="1"/>
    </x:xf>
    <x:xf numFmtId="0" fontId="17" fillId="7" borderId="16" xfId="0" applyNumberFormat="1" applyFont="1" applyFill="1" applyBorder="1" applyAlignment="1">
      <x:alignment vertical="center" wrapText="1"/>
    </x:xf>
    <x:xf numFmtId="0" fontId="17" fillId="7" borderId="17" xfId="0" applyNumberFormat="1" applyFont="1" applyFill="1" applyBorder="1" applyAlignment="1">
      <x:alignment vertical="center" wrapText="1"/>
    </x:xf>
    <x:xf numFmtId="0" fontId="17" fillId="7" borderId="18" xfId="0" applyNumberFormat="1" applyFont="1" applyFill="1" applyBorder="1" applyAlignment="1">
      <x:alignment vertical="center" wrapText="1"/>
    </x:xf>
    <x:xf numFmtId="0" fontId="17" fillId="7" borderId="19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9" fillId="8" borderId="20" xfId="0" applyNumberFormat="1" applyFont="1" applyFill="1" applyBorder="1" applyAlignment="1">
      <x:alignment vertical="center" wrapText="1"/>
    </x:xf>
    <x:xf numFmtId="0" fontId="19" fillId="8" borderId="21" xfId="0" applyNumberFormat="1" applyFont="1" applyFill="1" applyBorder="1" applyAlignment="1">
      <x:alignment vertical="center" wrapText="1"/>
    </x:xf>
    <x:xf numFmtId="0" fontId="19" fillId="8" borderId="22" xfId="0" applyNumberFormat="1" applyFont="1" applyFill="1" applyBorder="1" applyAlignment="1">
      <x:alignment vertical="center" wrapText="1"/>
    </x:xf>
    <x:xf numFmtId="0" fontId="19" fillId="8" borderId="23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19" fillId="8" borderId="24" xfId="0" applyNumberFormat="1" applyFont="1" applyFill="1" applyBorder="1" applyAlignment="1">
      <x:alignment vertical="center" wrapText="1"/>
    </x:xf>
    <x:xf numFmtId="0" fontId="19" fillId="8" borderId="25" xfId="0" applyNumberFormat="1" applyFont="1" applyFill="1" applyBorder="1" applyAlignment="1">
      <x:alignment vertical="center" wrapText="1"/>
    </x:xf>
    <x:xf numFmtId="0" fontId="19" fillId="8" borderId="26" xfId="0" applyNumberFormat="1" applyFont="1" applyFill="1" applyBorder="1" applyAlignment="1">
      <x:alignment vertical="center" wrapText="1"/>
    </x:xf>
    <x:xf numFmtId="0" fontId="19" fillId="8" borderId="2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201" fontId="20" fillId="0" borderId="0" xfId="0" applyNumberFormat="1" applyFont="1" applyFill="1" applyBorder="1"/>
    <x:xf numFmtId="200" fontId="20" fillId="0" borderId="0" xfId="0" applyNumberFormat="1" applyFont="1" applyFill="1" applyBorder="1"/>
    <x:xf numFmtId="202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vertical="center"/>
    </x:xf>
    <x:xf numFmtId="201" fontId="20" fillId="0" borderId="0" xfId="0" applyNumberFormat="1" applyFont="1" applyFill="1" applyBorder="1" applyAlignment="1">
      <x:alignment vertical="center"/>
    </x:xf>
    <x:xf numFmtId="200" fontId="20" fillId="0" borderId="0" xfId="0" applyNumberFormat="1" applyFont="1" applyFill="1" applyBorder="1" applyAlignment="1">
      <x:alignment vertical="center"/>
    </x:xf>
    <x:xf numFmtId="202" fontId="20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21" fillId="8" borderId="9" xfId="0" applyNumberFormat="1" applyFont="1" applyFill="1" applyBorder="1" applyAlignment="1">
      <x:alignment vertical="center" wrapText="1"/>
    </x:xf>
    <x:xf numFmtId="0" fontId="21" fillId="8" borderId="10" xfId="0" applyNumberFormat="1" applyFont="1" applyFill="1" applyBorder="1" applyAlignment="1">
      <x:alignment vertical="center" wrapText="1"/>
    </x:xf>
    <x:xf numFmtId="0" fontId="21" fillId="8" borderId="11" xfId="0" applyNumberFormat="1" applyFont="1" applyFill="1" applyBorder="1" applyAlignment="1">
      <x:alignment vertical="center" wrapText="1"/>
    </x:xf>
    <x:xf numFmtId="0" fontId="21" fillId="8" borderId="9" xfId="0" applyNumberFormat="1" applyFont="1" applyFill="1" applyBorder="1" applyAlignment="1">
      <x:alignment horizontal="center" vertical="center" wrapText="1"/>
    </x:xf>
    <x:xf numFmtId="0" fontId="21" fillId="8" borderId="10" xfId="0" applyNumberFormat="1" applyFont="1" applyFill="1" applyBorder="1" applyAlignment="1">
      <x:alignment horizontal="center" vertical="center" wrapText="1"/>
    </x:xf>
    <x:xf numFmtId="0" fontId="21" fillId="8" borderId="1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  <x:color rgb="FFA73500"/>
      </x:font>
      <x:fill>
        <x:patternFill patternType="solid">
          <x:bgColor rgb="FFFFE8DC"/>
        </x:patternFill>
      </x:fill>
    </x:dxf>
    <x:dxf>
      <x:font>
        <x:b/>
        <x:color rgb="FF176B4B"/>
      </x:font>
      <x:fill>
        <x:patternFill patternType="solid">
          <x:bgColor rgb="FFDDF3EA"/>
        </x:patternFill>
      </x:fill>
    </x:dxf>
    <x:dxf>
      <x:font>
        <x:b/>
        <x:color rgb="FF00A85A"/>
      </x:font>
      <x:fill>
        <x:patternFill patternType="solid">
          <x:bgColor rgb="FFE0F6EA"/>
        </x:patternFill>
      </x:fill>
    </x:dxf>
    <x:dxf>
      <x:font>
        <x:b/>
        <x:color rgb="FFC879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80936995f4aaa" /><Relationship Type="http://schemas.openxmlformats.org/officeDocument/2006/relationships/theme" Target="/xl/theme/theme1.xml" Id="R1e1eb86680894693" /><Relationship Type="http://schemas.microsoft.com/office/2022/11/relationships/FeaturePropertyBag" Target="/xl/featurePropertyBag/featurePropertyBag.xml" Id="R05a16a2ac0e24b7c" /><Relationship Type="http://schemas.openxmlformats.org/officeDocument/2006/relationships/sharedStrings" Target="/xl/sharedStrings.xml" Id="R3ea79837410e417a" /><Relationship Type="http://schemas.openxmlformats.org/officeDocument/2006/relationships/worksheet" Target="/xl/worksheets/sheet1.xml" Id="R80da6f27030e4804" /><Relationship Type="http://schemas.openxmlformats.org/officeDocument/2006/relationships/worksheet" Target="/xl/worksheets/sheet2.xml" Id="R4b0d8251bdeb41ab" /><Relationship Type="http://schemas.openxmlformats.org/officeDocument/2006/relationships/worksheet" Target="/xl/worksheets/sheet3.xml" Id="Re63de662fe7843b7" /><Relationship Type="http://schemas.openxmlformats.org/officeDocument/2006/relationships/worksheet" Target="/xl/worksheets/sheet4.xml" Id="R300e54cefd7a43d3" /><Relationship Type="http://schemas.microsoft.com/office/2017/10/relationships/person" Target="/xl/persons/person.xml" Id="R19a302e406514f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ess" id="{167FB914-6985-4825-823F-518C8108BF1F}"/>
</xltc:personList>
</file>

<file path=xl/tables/table1.xml><?xml version="1.0" encoding="utf-8"?>
<x:table xmlns:x="http://schemas.openxmlformats.org/spreadsheetml/2006/main" id="1" name="LaunchCourtsTable" displayName="LaunchCourtsTable" ref="A1:X57" headerRowCount="1" totalsRowCount="0" totalsRowShown="0">
  <x:autoFilter ref="A1:X57"/>
  <x:tableColumns count="24">
    <x:tableColumn id="1" name="Market"/>
    <x:tableColumn id="2" name="Sport"/>
    <x:tableColumn id="3" name="Display Name"/>
    <x:tableColumn id="4" name="Short Name"/>
    <x:tableColumn id="5" name="Address"/>
    <x:tableColumn id="6" name="City"/>
    <x:tableColumn id="7" name="State"/>
    <x:tableColumn id="8" name="ZIP"/>
    <x:tableColumn id="9" name="Latitude"/>
    <x:tableColumn id="10" name="Longitude"/>
    <x:tableColumn id="11" name="Access"/>
    <x:tableColumn id="12" name="Setting"/>
    <x:tableColumn id="13" name="Courts"/>
    <x:tableColumn id="14" name="Launch Role"/>
    <x:tableColumn id="15" name="Priority"/>
    <x:tableColumn id="16" name="Source Tier"/>
    <x:tableColumn id="17" name="Verification"/>
    <x:tableColumn id="18" name="Source URL"/>
    <x:tableColumn id="19" name="Geocode Source"/>
    <x:tableColumn id="20" name="Detection Match"/>
    <x:tableColumn id="21" name="Detection Distance (m)"/>
    <x:tableColumn id="22" name="Detection ID"/>
    <x:tableColumn id="23" name="QA Status"/>
    <x:tableColumn id="24" name="QA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c0723355d947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3" hidden="0" customWidth="1"/>
    <x:col min="6" max="6" width="14" hidden="0" customWidth="1"/>
    <x:col min="7" max="7" width="10" hidden="0" customWidth="1"/>
    <x:col min="8" max="8" width="25" hidden="0" customWidth="1"/>
  </x:cols>
  <x:sheetData>
    <x:row r="1" ht="34" customHeight="1">
      <x:c r="A1" s="116" t="str">
        <x:v>LOCALCHECK · LAUNCH COURT SEED</x:v>
      </x:c>
      <x:c r="B1" s="116"/>
      <x:c r="C1" s="116"/>
      <x:c r="D1" s="116"/>
      <x:c r="E1" s="116"/>
      <x:c r="F1" s="116"/>
      <x:c r="G1" s="116"/>
      <x:c r="H1" s="116"/>
    </x:row>
    <x:row r="2" ht="22" customHeight="1">
      <x:c r="A2" s="117" t="str">
        <x:v>56 source-backed launch venues across seven basketball and pickleball markets</x:v>
      </x:c>
      <x:c r="B2" s="117"/>
      <x:c r="C2" s="117"/>
      <x:c r="D2" s="117"/>
      <x:c r="E2" s="117"/>
      <x:c r="F2" s="117"/>
      <x:c r="G2" s="117"/>
      <x:c r="H2" s="117"/>
    </x:row>
    <x:row r="3" ht="22" customHeight="1">
      <x:c r="A3" s="118"/>
      <x:c r="B3" s="118"/>
      <x:c r="C3" s="118"/>
      <x:c r="D3" s="118"/>
      <x:c r="E3" s="118"/>
      <x:c r="F3" s="118"/>
      <x:c r="G3" s="118"/>
      <x:c r="H3" s="118"/>
    </x:row>
    <x:row r="4" ht="22" customHeight="1">
      <x:c r="A4" s="119" t="str">
        <x:v>TOTAL COURTS</x:v>
      </x:c>
      <x:c r="B4" s="119" t="str"/>
      <x:c r="C4" s="119" t="str">
        <x:v>BASKETBALL</x:v>
      </x:c>
      <x:c r="D4" s="119" t="str"/>
      <x:c r="E4" s="119" t="str">
        <x:v>PICKLEBALL</x:v>
      </x:c>
      <x:c r="F4" s="119" t="str"/>
      <x:c r="G4" s="119" t="str">
        <x:v>MARKETS</x:v>
      </x:c>
      <x:c r="H4" s="119" t="str"/>
    </x:row>
    <x:row r="5" ht="26" customHeight="1">
      <x:c r="A5" s="120" t="n">
        <x:f>COUNTA('Launch Courts'!$A$2:$A$57)</x:f>
        <x:v>56</x:v>
      </x:c>
      <x:c r="B5" s="121"/>
      <x:c r="C5" s="121" t="n">
        <x:f>COUNTIF('Launch Courts'!$B$2:$B$57,"basketball")</x:f>
        <x:v>28</x:v>
      </x:c>
      <x:c r="D5" s="121"/>
      <x:c r="E5" s="121" t="n">
        <x:f>COUNTIF('Launch Courts'!$B$2:$B$57,"pickleball")</x:f>
        <x:v>28</x:v>
      </x:c>
      <x:c r="F5" s="121"/>
      <x:c r="G5" s="121" t="n">
        <x:f>COUNTA($A$12:$A$18)</x:f>
        <x:v>7</x:v>
      </x:c>
      <x:c r="H5" s="122"/>
    </x:row>
    <x:row r="6" ht="26" customHeight="1">
      <x:c r="A6" s="123"/>
      <x:c r="B6" s="124"/>
      <x:c r="C6" s="124"/>
      <x:c r="D6" s="124"/>
      <x:c r="E6" s="124"/>
      <x:c r="F6" s="124"/>
      <x:c r="G6" s="124"/>
      <x:c r="H6" s="125"/>
    </x:row>
    <x:row r="7" ht="26" customHeight="1">
      <x:c r="A7" s="126"/>
      <x:c r="B7" s="127"/>
      <x:c r="C7" s="127"/>
      <x:c r="D7" s="127"/>
      <x:c r="E7" s="127"/>
      <x:c r="F7" s="127"/>
      <x:c r="G7" s="127"/>
      <x:c r="H7" s="128"/>
    </x:row>
    <x:row r="8" ht="22" customHeight="1">
      <x:c r="A8" s="118"/>
      <x:c r="B8" s="118"/>
      <x:c r="C8" s="118"/>
      <x:c r="D8" s="118"/>
      <x:c r="E8" s="118"/>
      <x:c r="F8" s="118"/>
      <x:c r="G8" s="118"/>
      <x:c r="H8" s="118"/>
    </x:row>
    <x:row r="9" ht="22" customHeight="1">
      <x:c r="A9" s="118"/>
      <x:c r="B9" s="118"/>
      <x:c r="C9" s="118"/>
      <x:c r="D9" s="118"/>
      <x:c r="E9" s="118"/>
      <x:c r="F9" s="118"/>
      <x:c r="G9" s="118"/>
      <x:c r="H9" s="118"/>
    </x:row>
    <x:row r="10" ht="22" customHeight="1">
      <x:c r="A10" s="129" t="str">
        <x:v>MARKET COVERAGE</x:v>
      </x:c>
      <x:c r="B10" s="129"/>
      <x:c r="C10" s="129"/>
      <x:c r="D10" s="129"/>
      <x:c r="E10" s="118"/>
      <x:c r="F10" s="130" t="str">
        <x:v>BASKETBALL DETECTION QA</x:v>
      </x:c>
      <x:c r="G10" s="130"/>
      <x:c r="H10" s="130"/>
    </x:row>
    <x:row r="11" ht="22" customHeight="1">
      <x:c r="A11" s="131" t="str">
        <x:v>Market</x:v>
      </x:c>
      <x:c r="B11" s="131" t="str">
        <x:v>Basketball</x:v>
      </x:c>
      <x:c r="C11" s="131" t="str">
        <x:v>Pickleball</x:v>
      </x:c>
      <x:c r="D11" s="131" t="str">
        <x:v>Total</x:v>
      </x:c>
      <x:c r="E11" s="118"/>
      <x:c r="F11" s="132" t="str">
        <x:v>Match</x:v>
      </x:c>
      <x:c r="G11" s="132" t="str">
        <x:v>Count</x:v>
      </x:c>
      <x:c r="H11" s="132" t="str">
        <x:v>Meaning</x:v>
      </x:c>
    </x:row>
    <x:row r="12" ht="22" customHeight="1">
      <x:c r="A12" s="133" t="str">
        <x:v>New York City</x:v>
      </x:c>
      <x:c r="B12" s="134" t="n">
        <x:f>COUNTIFS('Launch Courts'!$A$2:$A$57,$A12,'Launch Courts'!$B$2:$B$57,"basketball")</x:f>
        <x:v>4</x:v>
      </x:c>
      <x:c r="C12" s="134" t="n">
        <x:f>COUNTIFS('Launch Courts'!$A$2:$A$57,$A12,'Launch Courts'!$B$2:$B$57,"pickleball")</x:f>
        <x:v>4</x:v>
      </x:c>
      <x:c r="D12" s="134" t="n">
        <x:f>SUM(B12:C12)</x:f>
        <x:v>8</x:v>
      </x:c>
      <x:c r="E12" s="118"/>
      <x:c r="F12" s="133" t="str">
        <x:v>strong</x:v>
      </x:c>
      <x:c r="G12" s="134" t="n">
        <x:f>COUNTIFS('Launch Courts'!$B$2:$B$57,"basketball",'Launch Courts'!$T$2:$T$57,F12)</x:f>
        <x:v>10</x:v>
      </x:c>
      <x:c r="H12" s="133" t="str">
        <x:v>≤ 90 m</x:v>
      </x:c>
    </x:row>
    <x:row r="13" ht="22" customHeight="1">
      <x:c r="A13" s="135" t="str">
        <x:v>Washington DC</x:v>
      </x:c>
      <x:c r="B13" s="136" t="n">
        <x:f>COUNTIFS('Launch Courts'!$A$2:$A$57,$A13,'Launch Courts'!$B$2:$B$57,"basketball")</x:f>
        <x:v>4</x:v>
      </x:c>
      <x:c r="C13" s="136" t="n">
        <x:f>COUNTIFS('Launch Courts'!$A$2:$A$57,$A13,'Launch Courts'!$B$2:$B$57,"pickleball")</x:f>
        <x:v>4</x:v>
      </x:c>
      <x:c r="D13" s="136" t="n">
        <x:f>SUM(B13:C13)</x:f>
        <x:v>8</x:v>
      </x:c>
      <x:c r="E13" s="118"/>
      <x:c r="F13" s="135" t="str">
        <x:v>nearby</x:v>
      </x:c>
      <x:c r="G13" s="136" t="n">
        <x:f>COUNTIFS('Launch Courts'!$B$2:$B$57,"basketball",'Launch Courts'!$T$2:$T$57,F13)</x:f>
        <x:v>6</x:v>
      </x:c>
      <x:c r="H13" s="135" t="str">
        <x:v>91–220 m</x:v>
      </x:c>
    </x:row>
    <x:row r="14" ht="22" customHeight="1">
      <x:c r="A14" s="135" t="str">
        <x:v>Miami</x:v>
      </x:c>
      <x:c r="B14" s="136" t="n">
        <x:f>COUNTIFS('Launch Courts'!$A$2:$A$57,$A14,'Launch Courts'!$B$2:$B$57,"basketball")</x:f>
        <x:v>4</x:v>
      </x:c>
      <x:c r="C14" s="136" t="n">
        <x:f>COUNTIFS('Launch Courts'!$A$2:$A$57,$A14,'Launch Courts'!$B$2:$B$57,"pickleball")</x:f>
        <x:v>4</x:v>
      </x:c>
      <x:c r="D14" s="136" t="n">
        <x:f>SUM(B14:C14)</x:f>
        <x:v>8</x:v>
      </x:c>
      <x:c r="E14" s="118"/>
      <x:c r="F14" s="135" t="str">
        <x:v>review</x:v>
      </x:c>
      <x:c r="G14" s="136" t="n">
        <x:f>COUNTIFS('Launch Courts'!$B$2:$B$57,"basketball",'Launch Courts'!$T$2:$T$57,F14)</x:f>
        <x:v>7</x:v>
      </x:c>
      <x:c r="H14" s="135" t="str">
        <x:v>221–500 m</x:v>
      </x:c>
    </x:row>
    <x:row r="15" ht="22" customHeight="1">
      <x:c r="A15" s="135" t="str">
        <x:v>Los Angeles</x:v>
      </x:c>
      <x:c r="B15" s="136" t="n">
        <x:f>COUNTIFS('Launch Courts'!$A$2:$A$57,$A15,'Launch Courts'!$B$2:$B$57,"basketball")</x:f>
        <x:v>4</x:v>
      </x:c>
      <x:c r="C15" s="136" t="n">
        <x:f>COUNTIFS('Launch Courts'!$A$2:$A$57,$A15,'Launch Courts'!$B$2:$B$57,"pickleball")</x:f>
        <x:v>4</x:v>
      </x:c>
      <x:c r="D15" s="136" t="n">
        <x:f>SUM(B15:C15)</x:f>
        <x:v>8</x:v>
      </x:c>
      <x:c r="E15" s="118"/>
      <x:c r="F15" s="137" t="str">
        <x:v>none</x:v>
      </x:c>
      <x:c r="G15" s="138" t="n">
        <x:f>COUNTIFS('Launch Courts'!$B$2:$B$57,"basketball",'Launch Courts'!$T$2:$T$57,F15)</x:f>
        <x:v>5</x:v>
      </x:c>
      <x:c r="H15" s="137" t="str">
        <x:v>Manual imagery review</x:v>
      </x:c>
    </x:row>
    <x:row r="16" ht="22" customHeight="1">
      <x:c r="A16" s="135" t="str">
        <x:v>Houston</x:v>
      </x:c>
      <x:c r="B16" s="136" t="n">
        <x:f>COUNTIFS('Launch Courts'!$A$2:$A$57,$A16,'Launch Courts'!$B$2:$B$57,"basketball")</x:f>
        <x:v>4</x:v>
      </x:c>
      <x:c r="C16" s="136" t="n">
        <x:f>COUNTIFS('Launch Courts'!$A$2:$A$57,$A16,'Launch Courts'!$B$2:$B$57,"pickleball")</x:f>
        <x:v>4</x:v>
      </x:c>
      <x:c r="D16" s="136" t="n">
        <x:f>SUM(B16:C16)</x:f>
        <x:v>8</x:v>
      </x:c>
      <x:c r="E16" s="118"/>
      <x:c r="F16" s="118"/>
      <x:c r="G16" s="118"/>
      <x:c r="H16" s="118"/>
    </x:row>
    <x:row r="17" ht="22" customHeight="1">
      <x:c r="A17" s="135" t="str">
        <x:v>Austin</x:v>
      </x:c>
      <x:c r="B17" s="136" t="n">
        <x:f>COUNTIFS('Launch Courts'!$A$2:$A$57,$A17,'Launch Courts'!$B$2:$B$57,"basketball")</x:f>
        <x:v>4</x:v>
      </x:c>
      <x:c r="C17" s="136" t="n">
        <x:f>COUNTIFS('Launch Courts'!$A$2:$A$57,$A17,'Launch Courts'!$B$2:$B$57,"pickleball")</x:f>
        <x:v>4</x:v>
      </x:c>
      <x:c r="D17" s="136" t="n">
        <x:f>SUM(B17:C17)</x:f>
        <x:v>8</x:v>
      </x:c>
      <x:c r="E17" s="118"/>
      <x:c r="F17" s="139" t="str">
        <x:v>The uploaded 59,704-row file is treated as basketball-detection evidence only. A missing nearby detection does not rename or delete a source-backed venue; it sends that venue to manual satellite review.</x:v>
      </x:c>
      <x:c r="G17" s="140"/>
      <x:c r="H17" s="141"/>
    </x:row>
    <x:row r="18" ht="22" customHeight="1">
      <x:c r="A18" s="137" t="str">
        <x:v>Denver</x:v>
      </x:c>
      <x:c r="B18" s="138" t="n">
        <x:f>COUNTIFS('Launch Courts'!$A$2:$A$57,$A18,'Launch Courts'!$B$2:$B$57,"basketball")</x:f>
        <x:v>4</x:v>
      </x:c>
      <x:c r="C18" s="138" t="n">
        <x:f>COUNTIFS('Launch Courts'!$A$2:$A$57,$A18,'Launch Courts'!$B$2:$B$57,"pickleball")</x:f>
        <x:v>4</x:v>
      </x:c>
      <x:c r="D18" s="138" t="n">
        <x:f>SUM(B18:C18)</x:f>
        <x:v>8</x:v>
      </x:c>
      <x:c r="E18" s="118"/>
      <x:c r="F18" s="142"/>
      <x:c r="G18" s="143"/>
      <x:c r="H18" s="144"/>
    </x:row>
    <x:row r="19" ht="22" customHeight="1">
      <x:c r="A19" s="132" t="str">
        <x:v>TOTAL</x:v>
      </x:c>
      <x:c r="B19" s="131" t="n">
        <x:f>SUM(B12:B18)</x:f>
        <x:v>28</x:v>
      </x:c>
      <x:c r="C19" s="131" t="n">
        <x:f>SUM(C12:C18)</x:f>
        <x:v>28</x:v>
      </x:c>
      <x:c r="D19" s="131" t="n">
        <x:f>SUM(D12:D18)</x:f>
        <x:v>56</x:v>
      </x:c>
      <x:c r="E19" s="118"/>
      <x:c r="F19" s="142"/>
      <x:c r="G19" s="143"/>
      <x:c r="H19" s="144"/>
    </x:row>
    <x:row r="20" ht="22" customHeight="1">
      <x:c r="A20" s="118"/>
      <x:c r="B20" s="118"/>
      <x:c r="C20" s="118"/>
      <x:c r="D20" s="118"/>
      <x:c r="E20" s="118"/>
      <x:c r="F20" s="145"/>
      <x:c r="G20" s="146"/>
      <x:c r="H20" s="147"/>
    </x:row>
    <x:row r="21" ht="22" customHeight="1">
      <x:c r="A21" s="118"/>
      <x:c r="B21" s="118"/>
      <x:c r="C21" s="118"/>
      <x:c r="D21" s="118"/>
      <x:c r="E21" s="118"/>
      <x:c r="F21" s="118"/>
      <x:c r="G21" s="118"/>
      <x:c r="H21" s="118"/>
    </x:row>
    <x:row r="22" ht="22" customHeight="1">
      <x:c r="A22" s="148" t="str">
        <x:v>NAMING STANDARD</x:v>
      </x:c>
      <x:c r="B22" s="148"/>
      <x:c r="C22" s="148"/>
      <x:c r="D22" s="148"/>
      <x:c r="E22" s="148"/>
      <x:c r="F22" s="148"/>
      <x:c r="G22" s="148"/>
      <x:c r="H22" s="148"/>
    </x:row>
    <x:row r="23" ht="24" customHeight="1">
      <x:c r="A23" s="149" t="str">
        <x:v>Canonical venue name → recognized court nickname → parent facility → shortened street fallback. Numeric suffixes appear only to resolve a true duplicate in the same neighborhood, never as the primary identity.</x:v>
      </x:c>
      <x:c r="B23" s="150"/>
      <x:c r="C23" s="150"/>
      <x:c r="D23" s="150"/>
      <x:c r="E23" s="150"/>
      <x:c r="F23" s="150"/>
      <x:c r="G23" s="150"/>
      <x:c r="H23" s="151"/>
    </x:row>
    <x:row r="24" ht="24" customHeight="1">
      <x:c r="A24" s="152"/>
      <x:c r="B24" s="153"/>
      <x:c r="C24" s="153"/>
      <x:c r="D24" s="153"/>
      <x:c r="E24" s="153"/>
      <x:c r="F24" s="153"/>
      <x:c r="G24" s="153"/>
      <x:c r="H24" s="154"/>
    </x:row>
    <x:row r="25" ht="24" customHeight="1">
      <x:c r="A25" s="155"/>
      <x:c r="B25" s="156"/>
      <x:c r="C25" s="156"/>
      <x:c r="D25" s="156"/>
      <x:c r="E25" s="156"/>
      <x:c r="F25" s="156"/>
      <x:c r="G25" s="156"/>
      <x:c r="H25" s="157"/>
    </x:row>
  </x:sheetData>
  <x:mergeCells>
    <x:mergeCell ref="A1:H1"/>
    <x:mergeCell ref="A2:H2"/>
    <x:mergeCell ref="A5:B7"/>
    <x:mergeCell ref="C5:D7"/>
    <x:mergeCell ref="E5:F7"/>
    <x:mergeCell ref="G5:H7"/>
    <x:mergeCell ref="A10:D10"/>
    <x:mergeCell ref="F10:H10"/>
    <x:mergeCell ref="F17:H20"/>
    <x:mergeCell ref="A22:H22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9" hidden="0" customWidth="1"/>
    <x:col min="4" max="4" width="18" hidden="0" customWidth="1"/>
    <x:col min="5" max="5" width="28" hidden="0" customWidth="1"/>
    <x:col min="6" max="6" width="16" hidden="0" customWidth="1"/>
    <x:col min="7" max="7" width="8" hidden="0" customWidth="1"/>
    <x:col min="8" max="8" width="10" hidden="0" customWidth="1"/>
    <x:col min="9" max="9" width="13" hidden="0" customWidth="1"/>
    <x:col min="10" max="10" width="14" hidden="0" customWidth="1"/>
    <x:col min="11" max="11" width="15" hidden="0" customWidth="1"/>
    <x:col min="12" max="12" width="14" hidden="0" customWidth="1"/>
    <x:col min="13" max="13" width="9" hidden="0" customWidth="1"/>
    <x:col min="14" max="14" width="18" hidden="0" customWidth="1"/>
    <x:col min="15" max="15" width="9" hidden="0" customWidth="1"/>
    <x:col min="16" max="16" width="12" hidden="0" customWidth="1"/>
    <x:col min="17" max="17" width="18" hidden="0" customWidth="1"/>
    <x:col min="18" max="18" width="42" hidden="0" customWidth="1"/>
    <x:col min="19" max="19" width="19" hidden="0" customWidth="1"/>
    <x:col min="20" max="20" width="14" hidden="0" customWidth="1"/>
    <x:col min="21" max="21" width="16" hidden="0" customWidth="1"/>
    <x:col min="22" max="22" width="14" hidden="0" customWidth="1"/>
    <x:col min="23" max="23" width="27" hidden="0" customWidth="1"/>
    <x:col min="24" max="24" width="45" hidden="0" customWidth="1"/>
  </x:cols>
  <x:sheetData>
    <x:row r="1" ht="34" customHeight="1">
      <x:c r="A1" s="160" t="str">
        <x:v>Market</x:v>
      </x:c>
      <x:c r="B1" s="160" t="str">
        <x:v>Sport</x:v>
      </x:c>
      <x:c r="C1" s="160" t="str">
        <x:v>Display Name</x:v>
      </x:c>
      <x:c r="D1" s="160" t="str">
        <x:v>Short Name</x:v>
      </x:c>
      <x:c r="E1" s="160" t="str">
        <x:v>Address</x:v>
      </x:c>
      <x:c r="F1" s="160" t="str">
        <x:v>City</x:v>
      </x:c>
      <x:c r="G1" s="160" t="str">
        <x:v>State</x:v>
      </x:c>
      <x:c r="H1" s="160" t="str">
        <x:v>ZIP</x:v>
      </x:c>
      <x:c r="I1" s="160" t="str">
        <x:v>Latitude</x:v>
      </x:c>
      <x:c r="J1" s="160" t="str">
        <x:v>Longitude</x:v>
      </x:c>
      <x:c r="K1" s="160" t="str">
        <x:v>Access</x:v>
      </x:c>
      <x:c r="L1" s="160" t="str">
        <x:v>Setting</x:v>
      </x:c>
      <x:c r="M1" s="160" t="str">
        <x:v>Courts</x:v>
      </x:c>
      <x:c r="N1" s="160" t="str">
        <x:v>Launch Role</x:v>
      </x:c>
      <x:c r="O1" s="160" t="str">
        <x:v>Priority</x:v>
      </x:c>
      <x:c r="P1" s="160" t="str">
        <x:v>Source Tier</x:v>
      </x:c>
      <x:c r="Q1" s="160" t="str">
        <x:v>Verification</x:v>
      </x:c>
      <x:c r="R1" s="160" t="str">
        <x:v>Source URL</x:v>
      </x:c>
      <x:c r="S1" s="160" t="str">
        <x:v>Geocode Source</x:v>
      </x:c>
      <x:c r="T1" s="160" t="str">
        <x:v>Detection Match</x:v>
      </x:c>
      <x:c r="U1" s="160" t="str">
        <x:v>Detection Distance (m)</x:v>
      </x:c>
      <x:c r="V1" s="160" t="str">
        <x:v>Detection ID</x:v>
      </x:c>
      <x:c r="W1" s="160" t="str">
        <x:v>QA Status</x:v>
      </x:c>
      <x:c r="X1" s="160" t="str">
        <x:v>QA Note</x:v>
      </x:c>
    </x:row>
    <x:row r="2" ht="28" customHeight="1">
      <x:c r="A2" s="165" t="str">
        <x:v>New York City</x:v>
      </x:c>
      <x:c r="B2" s="165" t="str">
        <x:v>basketball</x:v>
      </x:c>
      <x:c r="C2" s="169" t="str">
        <x:v>Holcombe Rucker Park</x:v>
      </x:c>
      <x:c r="D2" s="169" t="str">
        <x:v>Rucker Park</x:v>
      </x:c>
      <x:c r="E2" s="169" t="str">
        <x:v>280 W 155th St</x:v>
      </x:c>
      <x:c r="F2" s="169" t="str">
        <x:v>New York</x:v>
      </x:c>
      <x:c r="G2" s="165" t="str">
        <x:v>NY</x:v>
      </x:c>
      <x:c r="H2" s="165" t="str">
        <x:v>10039</x:v>
      </x:c>
      <x:c r="I2" s="166" t="n">
        <x:v>40.8288869</x:v>
      </x:c>
      <x:c r="J2" s="166" t="n">
        <x:v>-73.9368503</x:v>
      </x:c>
      <x:c r="K2" s="165" t="str">
        <x:v>public_free</x:v>
      </x:c>
      <x:c r="L2" s="165" t="str">
        <x:v>outdoor</x:v>
      </x:c>
      <x:c r="M2" s="167"/>
      <x:c r="N2" s="165" t="str">
        <x:v>iconic</x:v>
      </x:c>
      <x:c r="O2" s="167" t="n">
        <x:v>100</x:v>
      </x:c>
      <x:c r="P2" s="165" t="str">
        <x:v>official</x:v>
      </x:c>
      <x:c r="Q2" s="165" t="str">
        <x:v>source_verified</x:v>
      </x:c>
      <x:c r="R2" s="170" t="str">
        <x:v>https://www.nycgovparks.org/parks/holcombe-rucker-park</x:v>
      </x:c>
      <x:c r="S2" s="165" t="str">
        <x:v>OpenStreetMap Nominatim</x:v>
      </x:c>
      <x:c r="T2" s="165" t="str">
        <x:v>strong</x:v>
      </x:c>
      <x:c r="U2" s="168" t="n">
        <x:v>84.6</x:v>
      </x:c>
      <x:c r="V2" s="165" t="str">
        <x:v>1074962572</x:v>
      </x:c>
      <x:c r="W2" s="165" t="str">
        <x:f>IF(B2="pickleball","READY · SOURCE",IF(OR(T2="strong",T2="nearby"),"READY · SOURCE + DETECTION","REVIEW · SATELLITE"))</x:f>
        <x:v>READY · SOURCE + DETECTION</x:v>
      </x:c>
      <x:c r="X2" s="165" t="str">
        <x:f>IF(W2="REVIEW · SATELLITE","Confirm exact playing surface in imagery before production lock","")</x:f>
      </x:c>
    </x:row>
    <x:row r="3" ht="28" customHeight="1">
      <x:c r="A3" s="165" t="str">
        <x:v>New York City</x:v>
      </x:c>
      <x:c r="B3" s="165" t="str">
        <x:v>basketball</x:v>
      </x:c>
      <x:c r="C3" s="169" t="str">
        <x:v>West 4th Street Courts</x:v>
      </x:c>
      <x:c r="D3" s="169" t="str">
        <x:v>The Cage</x:v>
      </x:c>
      <x:c r="E3" s="169" t="str">
        <x:v>6th Avenue &amp; West 3rd Street</x:v>
      </x:c>
      <x:c r="F3" s="169" t="str">
        <x:v>New York</x:v>
      </x:c>
      <x:c r="G3" s="165" t="str">
        <x:v>NY</x:v>
      </x:c>
      <x:c r="H3" s="165" t="str">
        <x:v>10014</x:v>
      </x:c>
      <x:c r="I3" s="166" t="n">
        <x:v>40.7308271</x:v>
      </x:c>
      <x:c r="J3" s="166" t="n">
        <x:v>-74.0013897</x:v>
      </x:c>
      <x:c r="K3" s="165" t="str">
        <x:v>public_free</x:v>
      </x:c>
      <x:c r="L3" s="165" t="str">
        <x:v>outdoor</x:v>
      </x:c>
      <x:c r="M3" s="167" t="n">
        <x:v>1</x:v>
      </x:c>
      <x:c r="N3" s="165" t="str">
        <x:v>iconic</x:v>
      </x:c>
      <x:c r="O3" s="167" t="n">
        <x:v>100</x:v>
      </x:c>
      <x:c r="P3" s="165" t="str">
        <x:v>official</x:v>
      </x:c>
      <x:c r="Q3" s="165" t="str">
        <x:v>source_verified</x:v>
      </x:c>
      <x:c r="R3" s="170" t="str">
        <x:v>https://www.nycgovparks.org/parks/west-4th-street-courts/</x:v>
      </x:c>
      <x:c r="S3" s="165" t="str">
        <x:v>OpenStreetMap Nominatim</x:v>
      </x:c>
      <x:c r="T3" s="165" t="str">
        <x:v>strong</x:v>
      </x:c>
      <x:c r="U3" s="168" t="n">
        <x:v>38.9</x:v>
      </x:c>
      <x:c r="V3" s="165" t="str">
        <x:v>440055116</x:v>
      </x:c>
      <x:c r="W3" s="165" t="str">
        <x:f>IF(B3="pickleball","READY · SOURCE",IF(OR(T3="strong",T3="nearby"),"READY · SOURCE + DETECTION","REVIEW · SATELLITE"))</x:f>
        <x:v>READY · SOURCE + DETECTION</x:v>
      </x:c>
      <x:c r="X3" s="165" t="str">
        <x:f>IF(W3="REVIEW · SATELLITE","Confirm exact playing surface in imagery before production lock","")</x:f>
      </x:c>
    </x:row>
    <x:row r="4" ht="28" customHeight="1">
      <x:c r="A4" s="165" t="str">
        <x:v>New York City</x:v>
      </x:c>
      <x:c r="B4" s="165" t="str">
        <x:v>basketball</x:v>
      </x:c>
      <x:c r="C4" s="169" t="str">
        <x:v>Dyckman Park Courts</x:v>
      </x:c>
      <x:c r="D4" s="169" t="str">
        <x:v>Dyckman</x:v>
      </x:c>
      <x:c r="E4" s="169" t="str">
        <x:v>4768 Nagle Ave</x:v>
      </x:c>
      <x:c r="F4" s="169" t="str">
        <x:v>New York</x:v>
      </x:c>
      <x:c r="G4" s="165" t="str">
        <x:v>NY</x:v>
      </x:c>
      <x:c r="H4" s="165" t="str">
        <x:v>10034</x:v>
      </x:c>
      <x:c r="I4" s="166" t="n">
        <x:v>40.860319</x:v>
      </x:c>
      <x:c r="J4" s="166" t="n">
        <x:v>-73.9282121</x:v>
      </x:c>
      <x:c r="K4" s="165" t="str">
        <x:v>public_free</x:v>
      </x:c>
      <x:c r="L4" s="165" t="str">
        <x:v>outdoor</x:v>
      </x:c>
      <x:c r="M4" s="167"/>
      <x:c r="N4" s="165" t="str">
        <x:v>iconic</x:v>
      </x:c>
      <x:c r="O4" s="167" t="n">
        <x:v>100</x:v>
      </x:c>
      <x:c r="P4" s="165" t="str">
        <x:v>editorial</x:v>
      </x:c>
      <x:c r="Q4" s="165" t="str">
        <x:v>source_verified</x:v>
      </x:c>
      <x:c r="R4" s="170" t="str">
        <x:v>https://www.redbull.com/us-en/famous-streetball-courts-usa</x:v>
      </x:c>
      <x:c r="S4" s="165" t="str">
        <x:v>OpenStreetMap Nominatim</x:v>
      </x:c>
      <x:c r="T4" s="165" t="str">
        <x:v>review</x:v>
      </x:c>
      <x:c r="U4" s="168" t="n">
        <x:v>399.5</x:v>
      </x:c>
      <x:c r="V4" s="165" t="str">
        <x:v>766058280</x:v>
      </x:c>
      <x:c r="W4" s="165" t="str">
        <x:f>IF(B4="pickleball","READY · SOURCE",IF(OR(T4="strong",T4="nearby"),"READY · SOURCE + DETECTION","REVIEW · SATELLITE"))</x:f>
        <x:v>REVIEW · SATELLITE</x:v>
      </x:c>
      <x:c r="X4" s="165" t="str">
        <x:f>IF(W4="REVIEW · SATELLITE","Confirm exact playing surface in imagery before production lock","")</x:f>
        <x:v>Confirm exact playing surface in imagery before production lock</x:v>
      </x:c>
    </x:row>
    <x:row r="5" ht="28" customHeight="1">
      <x:c r="A5" s="165" t="str">
        <x:v>New York City</x:v>
      </x:c>
      <x:c r="B5" s="165" t="str">
        <x:v>basketball</x:v>
      </x:c>
      <x:c r="C5" s="169" t="str">
        <x:v>Kingdome</x:v>
      </x:c>
      <x:c r="D5" s="169" t="str">
        <x:v>Kingdome</x:v>
      </x:c>
      <x:c r="E5" s="169" t="str">
        <x:v>62 Malcolm X Blvd</x:v>
      </x:c>
      <x:c r="F5" s="169" t="str">
        <x:v>New York</x:v>
      </x:c>
      <x:c r="G5" s="165" t="str">
        <x:v>NY</x:v>
      </x:c>
      <x:c r="H5" s="165" t="str">
        <x:v>10026</x:v>
      </x:c>
      <x:c r="I5" s="166" t="n">
        <x:v>40.8003258</x:v>
      </x:c>
      <x:c r="J5" s="166" t="n">
        <x:v>-73.9503163</x:v>
      </x:c>
      <x:c r="K5" s="165" t="str">
        <x:v>public_free</x:v>
      </x:c>
      <x:c r="L5" s="165" t="str">
        <x:v>outdoor</x:v>
      </x:c>
      <x:c r="M5" s="167"/>
      <x:c r="N5" s="165" t="str">
        <x:v>iconic</x:v>
      </x:c>
      <x:c r="O5" s="167" t="n">
        <x:v>100</x:v>
      </x:c>
      <x:c r="P5" s="165" t="str">
        <x:v>editorial</x:v>
      </x:c>
      <x:c r="Q5" s="165" t="str">
        <x:v>source_verified</x:v>
      </x:c>
      <x:c r="R5" s="170" t="str">
        <x:v>https://www.redbull.com/us-en/famous-streetball-courts-usa</x:v>
      </x:c>
      <x:c r="S5" s="165" t="str">
        <x:v>OpenStreetMap Nominatim</x:v>
      </x:c>
      <x:c r="T5" s="165" t="str">
        <x:v>strong</x:v>
      </x:c>
      <x:c r="U5" s="168" t="n">
        <x:v>26.1</x:v>
      </x:c>
      <x:c r="V5" s="165" t="str">
        <x:v>225143099</x:v>
      </x:c>
      <x:c r="W5" s="165" t="str">
        <x:f>IF(B5="pickleball","READY · SOURCE",IF(OR(T5="strong",T5="nearby"),"READY · SOURCE + DETECTION","REVIEW · SATELLITE"))</x:f>
        <x:v>READY · SOURCE + DETECTION</x:v>
      </x:c>
      <x:c r="X5" s="165" t="str">
        <x:f>IF(W5="REVIEW · SATELLITE","Confirm exact playing surface in imagery before production lock","")</x:f>
      </x:c>
    </x:row>
    <x:row r="6" ht="28" customHeight="1">
      <x:c r="A6" s="165" t="str">
        <x:v>New York City</x:v>
      </x:c>
      <x:c r="B6" s="165" t="str">
        <x:v>pickleball</x:v>
      </x:c>
      <x:c r="C6" s="169" t="str">
        <x:v>Marine Park Pickleball Courts</x:v>
      </x:c>
      <x:c r="D6" s="169" t="str">
        <x:v>Marine Park</x:v>
      </x:c>
      <x:c r="E6" s="169" t="str">
        <x:v>Fillmore Ave &amp; Stuart St</x:v>
      </x:c>
      <x:c r="F6" s="169" t="str">
        <x:v>Brooklyn</x:v>
      </x:c>
      <x:c r="G6" s="165" t="str">
        <x:v>NY</x:v>
      </x:c>
      <x:c r="H6" s="165" t="str">
        <x:v>11234</x:v>
      </x:c>
      <x:c r="I6" s="166" t="n">
        <x:v>40.6072902</x:v>
      </x:c>
      <x:c r="J6" s="166" t="n">
        <x:v>-73.9393511</x:v>
      </x:c>
      <x:c r="K6" s="165" t="str">
        <x:v>public_free</x:v>
      </x:c>
      <x:c r="L6" s="165" t="str">
        <x:v>outdoor</x:v>
      </x:c>
      <x:c r="M6" s="167" t="n">
        <x:v>8</x:v>
      </x:c>
      <x:c r="N6" s="165" t="str">
        <x:v>open_play_anchor</x:v>
      </x:c>
      <x:c r="O6" s="167" t="n">
        <x:v>92</x:v>
      </x:c>
      <x:c r="P6" s="165" t="str">
        <x:v>community</x:v>
      </x:c>
      <x:c r="Q6" s="165" t="str">
        <x:v>source_verified</x:v>
      </x:c>
      <x:c r="R6" s="170" t="str">
        <x:v>https://www.nycpickleball.com/the-guide</x:v>
      </x:c>
      <x:c r="S6" s="165" t="str">
        <x:v>OpenStreetMap Nominatim</x:v>
      </x:c>
      <x:c r="T6" s="165" t="str">
        <x:v>not_applicable</x:v>
      </x:c>
      <x:c r="U6" s="168"/>
      <x:c r="V6" s="165"/>
      <x:c r="W6" s="165" t="str">
        <x:f>IF(B6="pickleball","READY · SOURCE",IF(OR(T6="strong",T6="nearby"),"READY · SOURCE + DETECTION","REVIEW · SATELLITE"))</x:f>
        <x:v>READY · SOURCE</x:v>
      </x:c>
      <x:c r="X6" s="165" t="str">
        <x:f>IF(W6="REVIEW · SATELLITE","Confirm exact playing surface in imagery before production lock","")</x:f>
      </x:c>
    </x:row>
    <x:row r="7" ht="28" customHeight="1">
      <x:c r="A7" s="165" t="str">
        <x:v>New York City</x:v>
      </x:c>
      <x:c r="B7" s="165" t="str">
        <x:v>pickleball</x:v>
      </x:c>
      <x:c r="C7" s="169" t="str">
        <x:v>Pier 2 Pickleball Courts</x:v>
      </x:c>
      <x:c r="D7" s="169" t="str">
        <x:v>Pier 2</x:v>
      </x:c>
      <x:c r="E7" s="169" t="str">
        <x:v>150 Furman St</x:v>
      </x:c>
      <x:c r="F7" s="169" t="str">
        <x:v>Brooklyn</x:v>
      </x:c>
      <x:c r="G7" s="165" t="str">
        <x:v>NY</x:v>
      </x:c>
      <x:c r="H7" s="165" t="str">
        <x:v>11201</x:v>
      </x:c>
      <x:c r="I7" s="166" t="n">
        <x:v>40.70189</x:v>
      </x:c>
      <x:c r="J7" s="166" t="n">
        <x:v>-73.995468</x:v>
      </x:c>
      <x:c r="K7" s="165" t="str">
        <x:v>public_free</x:v>
      </x:c>
      <x:c r="L7" s="165" t="str">
        <x:v>outdoor_covered</x:v>
      </x:c>
      <x:c r="M7" s="167" t="n">
        <x:v>4</x:v>
      </x:c>
      <x:c r="N7" s="165" t="str">
        <x:v>open_play_anchor</x:v>
      </x:c>
      <x:c r="O7" s="167" t="n">
        <x:v>92</x:v>
      </x:c>
      <x:c r="P7" s="165" t="str">
        <x:v>community</x:v>
      </x:c>
      <x:c r="Q7" s="165" t="str">
        <x:v>source_verified</x:v>
      </x:c>
      <x:c r="R7" s="170" t="str">
        <x:v>https://www.nycpickleball.com/blog/pier-2-pickleball-courts-brooklyn-heights</x:v>
      </x:c>
      <x:c r="S7" s="165" t="str">
        <x:v>OpenStreetMap Nominatim</x:v>
      </x:c>
      <x:c r="T7" s="165" t="str">
        <x:v>not_applicable</x:v>
      </x:c>
      <x:c r="U7" s="168"/>
      <x:c r="V7" s="165"/>
      <x:c r="W7" s="165" t="str">
        <x:f>IF(B7="pickleball","READY · SOURCE",IF(OR(T7="strong",T7="nearby"),"READY · SOURCE + DETECTION","REVIEW · SATELLITE"))</x:f>
        <x:v>READY · SOURCE</x:v>
      </x:c>
      <x:c r="X7" s="165" t="str">
        <x:f>IF(W7="REVIEW · SATELLITE","Confirm exact playing surface in imagery before production lock","")</x:f>
      </x:c>
    </x:row>
    <x:row r="8" ht="28" customHeight="1">
      <x:c r="A8" s="165" t="str">
        <x:v>New York City</x:v>
      </x:c>
      <x:c r="B8" s="165" t="str">
        <x:v>pickleball</x:v>
      </x:c>
      <x:c r="C8" s="169" t="str">
        <x:v>John J. Carty Park</x:v>
      </x:c>
      <x:c r="D8" s="169" t="str">
        <x:v>John J. Carty</x:v>
      </x:c>
      <x:c r="E8" s="169" t="str">
        <x:v>9902 Fort Hamilton Pkwy</x:v>
      </x:c>
      <x:c r="F8" s="169" t="str">
        <x:v>Brooklyn</x:v>
      </x:c>
      <x:c r="G8" s="165" t="str">
        <x:v>NY</x:v>
      </x:c>
      <x:c r="H8" s="165" t="str">
        <x:v>11209</x:v>
      </x:c>
      <x:c r="I8" s="166" t="n">
        <x:v>40.6125402</x:v>
      </x:c>
      <x:c r="J8" s="166" t="n">
        <x:v>-74.0316587</x:v>
      </x:c>
      <x:c r="K8" s="165" t="str">
        <x:v>public_free</x:v>
      </x:c>
      <x:c r="L8" s="165" t="str">
        <x:v>outdoor</x:v>
      </x:c>
      <x:c r="M8" s="167" t="n">
        <x:v>4</x:v>
      </x:c>
      <x:c r="N8" s="165" t="str">
        <x:v>open_play_anchor</x:v>
      </x:c>
      <x:c r="O8" s="167" t="n">
        <x:v>92</x:v>
      </x:c>
      <x:c r="P8" s="165" t="str">
        <x:v>official</x:v>
      </x:c>
      <x:c r="Q8" s="165" t="str">
        <x:v>source_verified</x:v>
      </x:c>
      <x:c r="R8" s="170" t="str">
        <x:v>https://www.nycgovparks.org/parks/john-j-carty-park/facilities/pickleball</x:v>
      </x:c>
      <x:c r="S8" s="165" t="str">
        <x:v>OpenStreetMap Nominatim</x:v>
      </x:c>
      <x:c r="T8" s="165" t="str">
        <x:v>not_applicable</x:v>
      </x:c>
      <x:c r="U8" s="168"/>
      <x:c r="V8" s="165"/>
      <x:c r="W8" s="165" t="str">
        <x:f>IF(B8="pickleball","READY · SOURCE",IF(OR(T8="strong",T8="nearby"),"READY · SOURCE + DETECTION","REVIEW · SATELLITE"))</x:f>
        <x:v>READY · SOURCE</x:v>
      </x:c>
      <x:c r="X8" s="165" t="str">
        <x:f>IF(W8="REVIEW · SATELLITE","Confirm exact playing surface in imagery before production lock","")</x:f>
      </x:c>
    </x:row>
    <x:row r="9" ht="28" customHeight="1">
      <x:c r="A9" s="165" t="str">
        <x:v>New York City</x:v>
      </x:c>
      <x:c r="B9" s="165" t="str">
        <x:v>pickleball</x:v>
      </x:c>
      <x:c r="C9" s="169" t="str">
        <x:v>James J. Walker Park</x:v>
      </x:c>
      <x:c r="D9" s="169" t="str">
        <x:v>James J. Walker</x:v>
      </x:c>
      <x:c r="E9" s="169" t="str">
        <x:v>100 Clarkson St</x:v>
      </x:c>
      <x:c r="F9" s="169" t="str">
        <x:v>New York</x:v>
      </x:c>
      <x:c r="G9" s="165" t="str">
        <x:v>NY</x:v>
      </x:c>
      <x:c r="H9" s="165" t="str">
        <x:v>10014</x:v>
      </x:c>
      <x:c r="I9" s="166" t="n">
        <x:v>40.7295766</x:v>
      </x:c>
      <x:c r="J9" s="166" t="n">
        <x:v>-74.0076736</x:v>
      </x:c>
      <x:c r="K9" s="165" t="str">
        <x:v>public_free</x:v>
      </x:c>
      <x:c r="L9" s="165" t="str">
        <x:v>outdoor</x:v>
      </x:c>
      <x:c r="M9" s="167" t="n">
        <x:v>2</x:v>
      </x:c>
      <x:c r="N9" s="165" t="str">
        <x:v>neighborhood_hub</x:v>
      </x:c>
      <x:c r="O9" s="167" t="n">
        <x:v>78</x:v>
      </x:c>
      <x:c r="P9" s="165" t="str">
        <x:v>official</x:v>
      </x:c>
      <x:c r="Q9" s="165" t="str">
        <x:v>source_verified</x:v>
      </x:c>
      <x:c r="R9" s="170" t="str">
        <x:v>https://www.nycgovparks.org/facilities/pickleball</x:v>
      </x:c>
      <x:c r="S9" s="165" t="str">
        <x:v>OpenStreetMap Nominatim</x:v>
      </x:c>
      <x:c r="T9" s="165" t="str">
        <x:v>not_applicable</x:v>
      </x:c>
      <x:c r="U9" s="168"/>
      <x:c r="V9" s="165"/>
      <x:c r="W9" s="165" t="str">
        <x:f>IF(B9="pickleball","READY · SOURCE",IF(OR(T9="strong",T9="nearby"),"READY · SOURCE + DETECTION","REVIEW · SATELLITE"))</x:f>
        <x:v>READY · SOURCE</x:v>
      </x:c>
      <x:c r="X9" s="165" t="str">
        <x:f>IF(W9="REVIEW · SATELLITE","Confirm exact playing surface in imagery before production lock","")</x:f>
      </x:c>
    </x:row>
    <x:row r="10" ht="28" customHeight="1">
      <x:c r="A10" s="165" t="str">
        <x:v>Washington DC</x:v>
      </x:c>
      <x:c r="B10" s="165" t="str">
        <x:v>basketball</x:v>
      </x:c>
      <x:c r="C10" s="169" t="str">
        <x:v>Banneker Recreation Center</x:v>
      </x:c>
      <x:c r="D10" s="169" t="str">
        <x:v>Banneker</x:v>
      </x:c>
      <x:c r="E10" s="169" t="str">
        <x:v>2500 Georgia Ave NW</x:v>
      </x:c>
      <x:c r="F10" s="169" t="str">
        <x:v>Washington</x:v>
      </x:c>
      <x:c r="G10" s="165" t="str">
        <x:v>DC</x:v>
      </x:c>
      <x:c r="H10" s="165" t="str">
        <x:v>20001</x:v>
      </x:c>
      <x:c r="I10" s="166" t="n">
        <x:v>38.922453</x:v>
      </x:c>
      <x:c r="J10" s="166" t="n">
        <x:v>-77.022378</x:v>
      </x:c>
      <x:c r="K10" s="165" t="str">
        <x:v>public_free</x:v>
      </x:c>
      <x:c r="L10" s="165" t="str">
        <x:v>outdoor</x:v>
      </x:c>
      <x:c r="M10" s="167"/>
      <x:c r="N10" s="165" t="str">
        <x:v>pickup_anchor</x:v>
      </x:c>
      <x:c r="O10" s="167" t="n">
        <x:v>90</x:v>
      </x:c>
      <x:c r="P10" s="165" t="str">
        <x:v>official</x:v>
      </x:c>
      <x:c r="Q10" s="165" t="str">
        <x:v>source_verified</x:v>
      </x:c>
      <x:c r="R10" s="170" t="str">
        <x:v>https://dpr.dc.gov/page/athletic-fields-courts</x:v>
      </x:c>
      <x:c r="S10" s="165" t="str">
        <x:v>OpenStreetMap Nominatim</x:v>
      </x:c>
      <x:c r="T10" s="165" t="str">
        <x:v>nearby</x:v>
      </x:c>
      <x:c r="U10" s="168" t="n">
        <x:v>99</x:v>
      </x:c>
      <x:c r="V10" s="165" t="str">
        <x:v>87483737</x:v>
      </x:c>
      <x:c r="W10" s="165" t="str">
        <x:f>IF(B10="pickleball","READY · SOURCE",IF(OR(T10="strong",T10="nearby"),"READY · SOURCE + DETECTION","REVIEW · SATELLITE"))</x:f>
        <x:v>READY · SOURCE + DETECTION</x:v>
      </x:c>
      <x:c r="X10" s="165" t="str">
        <x:f>IF(W10="REVIEW · SATELLITE","Confirm exact playing surface in imagery before production lock","")</x:f>
      </x:c>
    </x:row>
    <x:row r="11" ht="28" customHeight="1">
      <x:c r="A11" s="165" t="str">
        <x:v>Washington DC</x:v>
      </x:c>
      <x:c r="B11" s="165" t="str">
        <x:v>basketball</x:v>
      </x:c>
      <x:c r="C11" s="169" t="str">
        <x:v>Turkey Thicket Recreation Center</x:v>
      </x:c>
      <x:c r="D11" s="169" t="str">
        <x:v>Turkey Thicket</x:v>
      </x:c>
      <x:c r="E11" s="169" t="str">
        <x:v>1100 Michigan Ave NE</x:v>
      </x:c>
      <x:c r="F11" s="169" t="str">
        <x:v>Washington</x:v>
      </x:c>
      <x:c r="G11" s="165" t="str">
        <x:v>DC</x:v>
      </x:c>
      <x:c r="H11" s="165" t="str">
        <x:v>20017</x:v>
      </x:c>
      <x:c r="I11" s="166" t="n">
        <x:v>38.9380885</x:v>
      </x:c>
      <x:c r="J11" s="166" t="n">
        <x:v>-76.9928164</x:v>
      </x:c>
      <x:c r="K11" s="165" t="str">
        <x:v>public_free</x:v>
      </x:c>
      <x:c r="L11" s="165" t="str">
        <x:v>mixed</x:v>
      </x:c>
      <x:c r="M11" s="167"/>
      <x:c r="N11" s="165" t="str">
        <x:v>community_hub</x:v>
      </x:c>
      <x:c r="O11" s="167" t="n">
        <x:v>82</x:v>
      </x:c>
      <x:c r="P11" s="165" t="str">
        <x:v>official</x:v>
      </x:c>
      <x:c r="Q11" s="165" t="str">
        <x:v>source_verified</x:v>
      </x:c>
      <x:c r="R11" s="170" t="str">
        <x:v>https://dpr.dc.gov/page/athletic-fields-courts</x:v>
      </x:c>
      <x:c r="S11" s="165" t="str">
        <x:v>OpenStreetMap Nominatim</x:v>
      </x:c>
      <x:c r="T11" s="165" t="str">
        <x:v>strong</x:v>
      </x:c>
      <x:c r="U11" s="168" t="n">
        <x:v>82.8</x:v>
      </x:c>
      <x:c r="V11" s="165" t="str">
        <x:v>982098880</x:v>
      </x:c>
      <x:c r="W11" s="165" t="str">
        <x:f>IF(B11="pickleball","READY · SOURCE",IF(OR(T11="strong",T11="nearby"),"READY · SOURCE + DETECTION","REVIEW · SATELLITE"))</x:f>
        <x:v>READY · SOURCE + DETECTION</x:v>
      </x:c>
      <x:c r="X11" s="165" t="str">
        <x:f>IF(W11="REVIEW · SATELLITE","Confirm exact playing surface in imagery before production lock","")</x:f>
      </x:c>
    </x:row>
    <x:row r="12" ht="28" customHeight="1">
      <x:c r="A12" s="165" t="str">
        <x:v>Washington DC</x:v>
      </x:c>
      <x:c r="B12" s="165" t="str">
        <x:v>basketball</x:v>
      </x:c>
      <x:c r="C12" s="169" t="str">
        <x:v>Kennedy Recreation Center</x:v>
      </x:c>
      <x:c r="D12" s="169" t="str">
        <x:v>Kennedy Rec</x:v>
      </x:c>
      <x:c r="E12" s="169" t="str">
        <x:v>1401 7th St NW</x:v>
      </x:c>
      <x:c r="F12" s="169" t="str">
        <x:v>Washington</x:v>
      </x:c>
      <x:c r="G12" s="165" t="str">
        <x:v>DC</x:v>
      </x:c>
      <x:c r="H12" s="165" t="str">
        <x:v>20001</x:v>
      </x:c>
      <x:c r="I12" s="166" t="n">
        <x:v>38.909034</x:v>
      </x:c>
      <x:c r="J12" s="166" t="n">
        <x:v>-77.0215468</x:v>
      </x:c>
      <x:c r="K12" s="165" t="str">
        <x:v>public_free</x:v>
      </x:c>
      <x:c r="L12" s="165" t="str">
        <x:v>mixed</x:v>
      </x:c>
      <x:c r="M12" s="167"/>
      <x:c r="N12" s="165" t="str">
        <x:v>pickup_anchor</x:v>
      </x:c>
      <x:c r="O12" s="167" t="n">
        <x:v>90</x:v>
      </x:c>
      <x:c r="P12" s="165" t="str">
        <x:v>official</x:v>
      </x:c>
      <x:c r="Q12" s="165" t="str">
        <x:v>source_verified</x:v>
      </x:c>
      <x:c r="R12" s="170" t="str">
        <x:v>https://dpr.dc.gov/page/athletic-fields-courts</x:v>
      </x:c>
      <x:c r="S12" s="165" t="str">
        <x:v>OpenStreetMap Nominatim</x:v>
      </x:c>
      <x:c r="T12" s="165" t="str">
        <x:v>strong</x:v>
      </x:c>
      <x:c r="U12" s="168" t="n">
        <x:v>54</x:v>
      </x:c>
      <x:c r="V12" s="165" t="str">
        <x:v>197099235</x:v>
      </x:c>
      <x:c r="W12" s="165" t="str">
        <x:f>IF(B12="pickleball","READY · SOURCE",IF(OR(T12="strong",T12="nearby"),"READY · SOURCE + DETECTION","REVIEW · SATELLITE"))</x:f>
        <x:v>READY · SOURCE + DETECTION</x:v>
      </x:c>
      <x:c r="X12" s="165" t="str">
        <x:f>IF(W12="REVIEW · SATELLITE","Confirm exact playing surface in imagery before production lock","")</x:f>
      </x:c>
    </x:row>
    <x:row r="13" ht="28" customHeight="1">
      <x:c r="A13" s="165" t="str">
        <x:v>Washington DC</x:v>
      </x:c>
      <x:c r="B13" s="165" t="str">
        <x:v>basketball</x:v>
      </x:c>
      <x:c r="C13" s="169" t="str">
        <x:v>Takoma Recreation Center</x:v>
      </x:c>
      <x:c r="D13" s="169" t="str">
        <x:v>Takoma Rec</x:v>
      </x:c>
      <x:c r="E13" s="169" t="str">
        <x:v>300 Van Buren St NW</x:v>
      </x:c>
      <x:c r="F13" s="169" t="str">
        <x:v>Washington</x:v>
      </x:c>
      <x:c r="G13" s="165" t="str">
        <x:v>DC</x:v>
      </x:c>
      <x:c r="H13" s="165" t="str">
        <x:v>20012</x:v>
      </x:c>
      <x:c r="I13" s="166" t="n">
        <x:v>38.9689287</x:v>
      </x:c>
      <x:c r="J13" s="166" t="n">
        <x:v>-77.0179738</x:v>
      </x:c>
      <x:c r="K13" s="165" t="str">
        <x:v>public_free</x:v>
      </x:c>
      <x:c r="L13" s="165" t="str">
        <x:v>mixed</x:v>
      </x:c>
      <x:c r="M13" s="167"/>
      <x:c r="N13" s="165" t="str">
        <x:v>community_hub</x:v>
      </x:c>
      <x:c r="O13" s="167" t="n">
        <x:v>82</x:v>
      </x:c>
      <x:c r="P13" s="165" t="str">
        <x:v>official</x:v>
      </x:c>
      <x:c r="Q13" s="165" t="str">
        <x:v>source_verified</x:v>
      </x:c>
      <x:c r="R13" s="170" t="str">
        <x:v>https://dpr.dc.gov/page/athletic-fields-courts</x:v>
      </x:c>
      <x:c r="S13" s="165" t="str">
        <x:v>OpenStreetMap Nominatim</x:v>
      </x:c>
      <x:c r="T13" s="165" t="str">
        <x:v>nearby</x:v>
      </x:c>
      <x:c r="U13" s="168" t="n">
        <x:v>182.2</x:v>
      </x:c>
      <x:c r="V13" s="165" t="str">
        <x:v>134179172</x:v>
      </x:c>
      <x:c r="W13" s="165" t="str">
        <x:f>IF(B13="pickleball","READY · SOURCE",IF(OR(T13="strong",T13="nearby"),"READY · SOURCE + DETECTION","REVIEW · SATELLITE"))</x:f>
        <x:v>READY · SOURCE + DETECTION</x:v>
      </x:c>
      <x:c r="X13" s="165" t="str">
        <x:f>IF(W13="REVIEW · SATELLITE","Confirm exact playing surface in imagery before production lock","")</x:f>
      </x:c>
    </x:row>
    <x:row r="14" ht="28" customHeight="1">
      <x:c r="A14" s="165" t="str">
        <x:v>Washington DC</x:v>
      </x:c>
      <x:c r="B14" s="165" t="str">
        <x:v>pickleball</x:v>
      </x:c>
      <x:c r="C14" s="169" t="str">
        <x:v>Turkey Thicket Pickleball Courts</x:v>
      </x:c>
      <x:c r="D14" s="169" t="str">
        <x:v>Turkey Thicket</x:v>
      </x:c>
      <x:c r="E14" s="169" t="str">
        <x:v>1100 Michigan Ave NE</x:v>
      </x:c>
      <x:c r="F14" s="169" t="str">
        <x:v>Washington</x:v>
      </x:c>
      <x:c r="G14" s="165" t="str">
        <x:v>DC</x:v>
      </x:c>
      <x:c r="H14" s="165" t="str">
        <x:v>20017</x:v>
      </x:c>
      <x:c r="I14" s="166" t="n">
        <x:v>38.9380885</x:v>
      </x:c>
      <x:c r="J14" s="166" t="n">
        <x:v>-76.9928164</x:v>
      </x:c>
      <x:c r="K14" s="165" t="str">
        <x:v>public_free</x:v>
      </x:c>
      <x:c r="L14" s="165" t="str">
        <x:v>mixed</x:v>
      </x:c>
      <x:c r="M14" s="167"/>
      <x:c r="N14" s="165" t="str">
        <x:v>open_play_anchor</x:v>
      </x:c>
      <x:c r="O14" s="167" t="n">
        <x:v>92</x:v>
      </x:c>
      <x:c r="P14" s="165" t="str">
        <x:v>official</x:v>
      </x:c>
      <x:c r="Q14" s="165" t="str">
        <x:v>source_verified</x:v>
      </x:c>
      <x:c r="R14" s="170" t="str">
        <x:v>https://dpr.dc.gov/release/dpr-announces-arrival-pickleball</x:v>
      </x:c>
      <x:c r="S14" s="165" t="str">
        <x:v>OpenStreetMap Nominatim</x:v>
      </x:c>
      <x:c r="T14" s="165" t="str">
        <x:v>not_applicable</x:v>
      </x:c>
      <x:c r="U14" s="168"/>
      <x:c r="V14" s="165"/>
      <x:c r="W14" s="165" t="str">
        <x:f>IF(B14="pickleball","READY · SOURCE",IF(OR(T14="strong",T14="nearby"),"READY · SOURCE + DETECTION","REVIEW · SATELLITE"))</x:f>
        <x:v>READY · SOURCE</x:v>
      </x:c>
      <x:c r="X14" s="165" t="str">
        <x:f>IF(W14="REVIEW · SATELLITE","Confirm exact playing surface in imagery before production lock","")</x:f>
      </x:c>
    </x:row>
    <x:row r="15" ht="28" customHeight="1">
      <x:c r="A15" s="165" t="str">
        <x:v>Washington DC</x:v>
      </x:c>
      <x:c r="B15" s="165" t="str">
        <x:v>pickleball</x:v>
      </x:c>
      <x:c r="C15" s="169" t="str">
        <x:v>Palisades Recreation Center</x:v>
      </x:c>
      <x:c r="D15" s="169" t="str">
        <x:v>Palisades</x:v>
      </x:c>
      <x:c r="E15" s="169" t="str">
        <x:v>5200 Sherier Pl NW</x:v>
      </x:c>
      <x:c r="F15" s="169" t="str">
        <x:v>Washington</x:v>
      </x:c>
      <x:c r="G15" s="165" t="str">
        <x:v>DC</x:v>
      </x:c>
      <x:c r="H15" s="165" t="str">
        <x:v>20016</x:v>
      </x:c>
      <x:c r="I15" s="166" t="n">
        <x:v>38.9244362</x:v>
      </x:c>
      <x:c r="J15" s="166" t="n">
        <x:v>-77.1045859</x:v>
      </x:c>
      <x:c r="K15" s="165" t="str">
        <x:v>public_free</x:v>
      </x:c>
      <x:c r="L15" s="165" t="str">
        <x:v>mixed</x:v>
      </x:c>
      <x:c r="M15" s="167"/>
      <x:c r="N15" s="165" t="str">
        <x:v>neighborhood_hub</x:v>
      </x:c>
      <x:c r="O15" s="167" t="n">
        <x:v>78</x:v>
      </x:c>
      <x:c r="P15" s="165" t="str">
        <x:v>official</x:v>
      </x:c>
      <x:c r="Q15" s="165" t="str">
        <x:v>source_verified</x:v>
      </x:c>
      <x:c r="R15" s="170" t="str">
        <x:v>https://dpr.dc.gov/page/athletic-fields-courts</x:v>
      </x:c>
      <x:c r="S15" s="165" t="str">
        <x:v>OpenStreetMap Nominatim</x:v>
      </x:c>
      <x:c r="T15" s="165" t="str">
        <x:v>not_applicable</x:v>
      </x:c>
      <x:c r="U15" s="168"/>
      <x:c r="V15" s="165"/>
      <x:c r="W15" s="165" t="str">
        <x:f>IF(B15="pickleball","READY · SOURCE",IF(OR(T15="strong",T15="nearby"),"READY · SOURCE + DETECTION","REVIEW · SATELLITE"))</x:f>
        <x:v>READY · SOURCE</x:v>
      </x:c>
      <x:c r="X15" s="165" t="str">
        <x:f>IF(W15="REVIEW · SATELLITE","Confirm exact playing surface in imagery before production lock","")</x:f>
      </x:c>
    </x:row>
    <x:row r="16" ht="28" customHeight="1">
      <x:c r="A16" s="165" t="str">
        <x:v>Washington DC</x:v>
      </x:c>
      <x:c r="B16" s="165" t="str">
        <x:v>pickleball</x:v>
      </x:c>
      <x:c r="C16" s="169" t="str">
        <x:v>Hearst Recreation Center</x:v>
      </x:c>
      <x:c r="D16" s="169" t="str">
        <x:v>Hearst</x:v>
      </x:c>
      <x:c r="E16" s="169" t="str">
        <x:v>3950 37th St NW</x:v>
      </x:c>
      <x:c r="F16" s="169" t="str">
        <x:v>Washington</x:v>
      </x:c>
      <x:c r="G16" s="165" t="str">
        <x:v>DC</x:v>
      </x:c>
      <x:c r="H16" s="165" t="str">
        <x:v>20008</x:v>
      </x:c>
      <x:c r="I16" s="166" t="n">
        <x:v>38.9408873</x:v>
      </x:c>
      <x:c r="J16" s="166" t="n">
        <x:v>-77.0716987</x:v>
      </x:c>
      <x:c r="K16" s="165" t="str">
        <x:v>public_free</x:v>
      </x:c>
      <x:c r="L16" s="165" t="str">
        <x:v>outdoor</x:v>
      </x:c>
      <x:c r="M16" s="167"/>
      <x:c r="N16" s="165" t="str">
        <x:v>neighborhood_hub</x:v>
      </x:c>
      <x:c r="O16" s="167" t="n">
        <x:v>78</x:v>
      </x:c>
      <x:c r="P16" s="165" t="str">
        <x:v>official</x:v>
      </x:c>
      <x:c r="Q16" s="165" t="str">
        <x:v>source_verified</x:v>
      </x:c>
      <x:c r="R16" s="170" t="str">
        <x:v>https://dpr.dc.gov/page/athletic-fields-courts</x:v>
      </x:c>
      <x:c r="S16" s="165" t="str">
        <x:v>OpenStreetMap Nominatim</x:v>
      </x:c>
      <x:c r="T16" s="165" t="str">
        <x:v>not_applicable</x:v>
      </x:c>
      <x:c r="U16" s="168"/>
      <x:c r="V16" s="165"/>
      <x:c r="W16" s="165" t="str">
        <x:f>IF(B16="pickleball","READY · SOURCE",IF(OR(T16="strong",T16="nearby"),"READY · SOURCE + DETECTION","REVIEW · SATELLITE"))</x:f>
        <x:v>READY · SOURCE</x:v>
      </x:c>
      <x:c r="X16" s="165" t="str">
        <x:f>IF(W16="REVIEW · SATELLITE","Confirm exact playing surface in imagery before production lock","")</x:f>
      </x:c>
    </x:row>
    <x:row r="17" ht="28" customHeight="1">
      <x:c r="A17" s="165" t="str">
        <x:v>Washington DC</x:v>
      </x:c>
      <x:c r="B17" s="165" t="str">
        <x:v>pickleball</x:v>
      </x:c>
      <x:c r="C17" s="169" t="str">
        <x:v>Edgewood Recreation Center</x:v>
      </x:c>
      <x:c r="D17" s="169" t="str">
        <x:v>Edgewood</x:v>
      </x:c>
      <x:c r="E17" s="169" t="str">
        <x:v>301 Franklin St NE</x:v>
      </x:c>
      <x:c r="F17" s="169" t="str">
        <x:v>Washington</x:v>
      </x:c>
      <x:c r="G17" s="165" t="str">
        <x:v>DC</x:v>
      </x:c>
      <x:c r="H17" s="165" t="str">
        <x:v>20002</x:v>
      </x:c>
      <x:c r="I17" s="166" t="n">
        <x:v>38.925512</x:v>
      </x:c>
      <x:c r="J17" s="166" t="n">
        <x:v>-77.002286</x:v>
      </x:c>
      <x:c r="K17" s="165" t="str">
        <x:v>public_free</x:v>
      </x:c>
      <x:c r="L17" s="165" t="str">
        <x:v>indoor</x:v>
      </x:c>
      <x:c r="M17" s="167"/>
      <x:c r="N17" s="165" t="str">
        <x:v>open_play_anchor</x:v>
      </x:c>
      <x:c r="O17" s="167" t="n">
        <x:v>92</x:v>
      </x:c>
      <x:c r="P17" s="165" t="str">
        <x:v>official</x:v>
      </x:c>
      <x:c r="Q17" s="165" t="str">
        <x:v>source_verified</x:v>
      </x:c>
      <x:c r="R17" s="170" t="str">
        <x:v>https://dpr.dc.gov/page/athletic-fields-courts</x:v>
      </x:c>
      <x:c r="S17" s="165" t="str">
        <x:v>OpenStreetMap Nominatim</x:v>
      </x:c>
      <x:c r="T17" s="165" t="str">
        <x:v>not_applicable</x:v>
      </x:c>
      <x:c r="U17" s="168"/>
      <x:c r="V17" s="165"/>
      <x:c r="W17" s="165" t="str">
        <x:f>IF(B17="pickleball","READY · SOURCE",IF(OR(T17="strong",T17="nearby"),"READY · SOURCE + DETECTION","REVIEW · SATELLITE"))</x:f>
        <x:v>READY · SOURCE</x:v>
      </x:c>
      <x:c r="X17" s="165" t="str">
        <x:f>IF(W17="REVIEW · SATELLITE","Confirm exact playing surface in imagery before production lock","")</x:f>
      </x:c>
    </x:row>
    <x:row r="18" ht="28" customHeight="1">
      <x:c r="A18" s="165" t="str">
        <x:v>Miami</x:v>
      </x:c>
      <x:c r="B18" s="165" t="str">
        <x:v>basketball</x:v>
      </x:c>
      <x:c r="C18" s="169" t="str">
        <x:v>Lummus Park Courts</x:v>
      </x:c>
      <x:c r="D18" s="169" t="str">
        <x:v>Lummus Park</x:v>
      </x:c>
      <x:c r="E18" s="169" t="str">
        <x:v>1130 Ocean Dr</x:v>
      </x:c>
      <x:c r="F18" s="169" t="str">
        <x:v>Miami Beach</x:v>
      </x:c>
      <x:c r="G18" s="165" t="str">
        <x:v>FL</x:v>
      </x:c>
      <x:c r="H18" s="165" t="str">
        <x:v>33139</x:v>
      </x:c>
      <x:c r="I18" s="166" t="n">
        <x:v>25.7823481</x:v>
      </x:c>
      <x:c r="J18" s="166" t="n">
        <x:v>-80.1305196</x:v>
      </x:c>
      <x:c r="K18" s="165" t="str">
        <x:v>public_free</x:v>
      </x:c>
      <x:c r="L18" s="165" t="str">
        <x:v>outdoor</x:v>
      </x:c>
      <x:c r="M18" s="167"/>
      <x:c r="N18" s="165" t="str">
        <x:v>pickup_anchor</x:v>
      </x:c>
      <x:c r="O18" s="167" t="n">
        <x:v>90</x:v>
      </x:c>
      <x:c r="P18" s="165" t="str">
        <x:v>community</x:v>
      </x:c>
      <x:c r="Q18" s="165" t="str">
        <x:v>source_verified</x:v>
      </x:c>
      <x:c r="R18" s="170" t="str">
        <x:v>https://fullcourt.io/miami/courts</x:v>
      </x:c>
      <x:c r="S18" s="165" t="str">
        <x:v>OpenStreetMap Nominatim</x:v>
      </x:c>
      <x:c r="T18" s="165" t="str">
        <x:v>none</x:v>
      </x:c>
      <x:c r="U18" s="168"/>
      <x:c r="V18" s="165"/>
      <x:c r="W18" s="165" t="str">
        <x:f>IF(B18="pickleball","READY · SOURCE",IF(OR(T18="strong",T18="nearby"),"READY · SOURCE + DETECTION","REVIEW · SATELLITE"))</x:f>
        <x:v>REVIEW · SATELLITE</x:v>
      </x:c>
      <x:c r="X18" s="165" t="str">
        <x:f>IF(W18="REVIEW · SATELLITE","Confirm exact playing surface in imagery before production lock","")</x:f>
        <x:v>Confirm exact playing surface in imagery before production lock</x:v>
      </x:c>
    </x:row>
    <x:row r="19" ht="28" customHeight="1">
      <x:c r="A19" s="165" t="str">
        <x:v>Miami</x:v>
      </x:c>
      <x:c r="B19" s="165" t="str">
        <x:v>basketball</x:v>
      </x:c>
      <x:c r="C19" s="169" t="str">
        <x:v>Flamingo Park</x:v>
      </x:c>
      <x:c r="D19" s="169" t="str">
        <x:v>Flamingo Park</x:v>
      </x:c>
      <x:c r="E19" s="169" t="str">
        <x:v>1200 Meridian Ave</x:v>
      </x:c>
      <x:c r="F19" s="169" t="str">
        <x:v>Miami Beach</x:v>
      </x:c>
      <x:c r="G19" s="165" t="str">
        <x:v>FL</x:v>
      </x:c>
      <x:c r="H19" s="165" t="str">
        <x:v>33139</x:v>
      </x:c>
      <x:c r="I19" s="166" t="n">
        <x:v>25.7851826</x:v>
      </x:c>
      <x:c r="J19" s="166" t="n">
        <x:v>-80.1375022</x:v>
      </x:c>
      <x:c r="K19" s="165" t="str">
        <x:v>public_free</x:v>
      </x:c>
      <x:c r="L19" s="165" t="str">
        <x:v>outdoor</x:v>
      </x:c>
      <x:c r="M19" s="167"/>
      <x:c r="N19" s="165" t="str">
        <x:v>pickup_anchor</x:v>
      </x:c>
      <x:c r="O19" s="167" t="n">
        <x:v>90</x:v>
      </x:c>
      <x:c r="P19" s="165" t="str">
        <x:v>official</x:v>
      </x:c>
      <x:c r="Q19" s="165" t="str">
        <x:v>source_verified</x:v>
      </x:c>
      <x:c r="R19" s="170" t="str">
        <x:v>https://www.miamibeachfl.gov/parks-facilities/flamingo-park/</x:v>
      </x:c>
      <x:c r="S19" s="165" t="str">
        <x:v>OpenStreetMap Nominatim</x:v>
      </x:c>
      <x:c r="T19" s="165" t="str">
        <x:v>nearby</x:v>
      </x:c>
      <x:c r="U19" s="168" t="n">
        <x:v>105.9</x:v>
      </x:c>
      <x:c r="V19" s="165" t="str">
        <x:v>237435647</x:v>
      </x:c>
      <x:c r="W19" s="165" t="str">
        <x:f>IF(B19="pickleball","READY · SOURCE",IF(OR(T19="strong",T19="nearby"),"READY · SOURCE + DETECTION","REVIEW · SATELLITE"))</x:f>
        <x:v>READY · SOURCE + DETECTION</x:v>
      </x:c>
      <x:c r="X19" s="165" t="str">
        <x:f>IF(W19="REVIEW · SATELLITE","Confirm exact playing surface in imagery before production lock","")</x:f>
      </x:c>
    </x:row>
    <x:row r="20" ht="28" customHeight="1">
      <x:c r="A20" s="165" t="str">
        <x:v>Miami</x:v>
      </x:c>
      <x:c r="B20" s="165" t="str">
        <x:v>basketball</x:v>
      </x:c>
      <x:c r="C20" s="169" t="str">
        <x:v>Margaret Pace Park</x:v>
      </x:c>
      <x:c r="D20" s="169" t="str">
        <x:v>Margaret Pace</x:v>
      </x:c>
      <x:c r="E20" s="169" t="str">
        <x:v>1745 N Bayshore Dr</x:v>
      </x:c>
      <x:c r="F20" s="169" t="str">
        <x:v>Miami</x:v>
      </x:c>
      <x:c r="G20" s="165" t="str">
        <x:v>FL</x:v>
      </x:c>
      <x:c r="H20" s="165" t="str">
        <x:v>33132</x:v>
      </x:c>
      <x:c r="I20" s="166" t="n">
        <x:v>25.7933775</x:v>
      </x:c>
      <x:c r="J20" s="166" t="n">
        <x:v>-80.1861208</x:v>
      </x:c>
      <x:c r="K20" s="165" t="str">
        <x:v>public_free</x:v>
      </x:c>
      <x:c r="L20" s="165" t="str">
        <x:v>outdoor</x:v>
      </x:c>
      <x:c r="M20" s="167"/>
      <x:c r="N20" s="165" t="str">
        <x:v>pickup_anchor</x:v>
      </x:c>
      <x:c r="O20" s="167" t="n">
        <x:v>90</x:v>
      </x:c>
      <x:c r="P20" s="165" t="str">
        <x:v>official</x:v>
      </x:c>
      <x:c r="Q20" s="165" t="str">
        <x:v>source_verified</x:v>
      </x:c>
      <x:c r="R20" s="170" t="str">
        <x:v>https://www.miami.gov/Parks-Public-Places/Parks-Directory/Margaret-Pace-Park</x:v>
      </x:c>
      <x:c r="S20" s="165" t="str">
        <x:v>OpenStreetMap Nominatim</x:v>
      </x:c>
      <x:c r="T20" s="165" t="str">
        <x:v>review</x:v>
      </x:c>
      <x:c r="U20" s="168" t="n">
        <x:v>232.2</x:v>
      </x:c>
      <x:c r="V20" s="165" t="str">
        <x:v>316001421</x:v>
      </x:c>
      <x:c r="W20" s="165" t="str">
        <x:f>IF(B20="pickleball","READY · SOURCE",IF(OR(T20="strong",T20="nearby"),"READY · SOURCE + DETECTION","REVIEW · SATELLITE"))</x:f>
        <x:v>REVIEW · SATELLITE</x:v>
      </x:c>
      <x:c r="X20" s="165" t="str">
        <x:f>IF(W20="REVIEW · SATELLITE","Confirm exact playing surface in imagery before production lock","")</x:f>
        <x:v>Confirm exact playing surface in imagery before production lock</x:v>
      </x:c>
    </x:row>
    <x:row r="21" ht="28" customHeight="1">
      <x:c r="A21" s="165" t="str">
        <x:v>Miami</x:v>
      </x:c>
      <x:c r="B21" s="165" t="str">
        <x:v>basketball</x:v>
      </x:c>
      <x:c r="C21" s="169" t="str">
        <x:v>Morningside Park</x:v>
      </x:c>
      <x:c r="D21" s="169" t="str">
        <x:v>Morningside</x:v>
      </x:c>
      <x:c r="E21" s="169" t="str">
        <x:v>750 NE 55th Ter</x:v>
      </x:c>
      <x:c r="F21" s="169" t="str">
        <x:v>Miami</x:v>
      </x:c>
      <x:c r="G21" s="165" t="str">
        <x:v>FL</x:v>
      </x:c>
      <x:c r="H21" s="165" t="str">
        <x:v>33137</x:v>
      </x:c>
      <x:c r="I21" s="166" t="n">
        <x:v>25.8270704</x:v>
      </x:c>
      <x:c r="J21" s="166" t="n">
        <x:v>-80.1802162</x:v>
      </x:c>
      <x:c r="K21" s="165" t="str">
        <x:v>public_free</x:v>
      </x:c>
      <x:c r="L21" s="165" t="str">
        <x:v>outdoor</x:v>
      </x:c>
      <x:c r="M21" s="167"/>
      <x:c r="N21" s="165" t="str">
        <x:v>neighborhood_hub</x:v>
      </x:c>
      <x:c r="O21" s="167" t="n">
        <x:v>78</x:v>
      </x:c>
      <x:c r="P21" s="165" t="str">
        <x:v>community</x:v>
      </x:c>
      <x:c r="Q21" s="165" t="str">
        <x:v>source_verified</x:v>
      </x:c>
      <x:c r="R21" s="170" t="str">
        <x:v>https://fullcourt.io/miami/courts</x:v>
      </x:c>
      <x:c r="S21" s="165" t="str">
        <x:v>OpenStreetMap Nominatim</x:v>
      </x:c>
      <x:c r="T21" s="165" t="str">
        <x:v>nearby</x:v>
      </x:c>
      <x:c r="U21" s="168" t="n">
        <x:v>127.8</x:v>
      </x:c>
      <x:c r="V21" s="165" t="str">
        <x:v>313742328</x:v>
      </x:c>
      <x:c r="W21" s="165" t="str">
        <x:f>IF(B21="pickleball","READY · SOURCE",IF(OR(T21="strong",T21="nearby"),"READY · SOURCE + DETECTION","REVIEW · SATELLITE"))</x:f>
        <x:v>READY · SOURCE + DETECTION</x:v>
      </x:c>
      <x:c r="X21" s="165" t="str">
        <x:f>IF(W21="REVIEW · SATELLITE","Confirm exact playing surface in imagery before production lock","")</x:f>
      </x:c>
    </x:row>
    <x:row r="22" ht="28" customHeight="1">
      <x:c r="A22" s="165" t="str">
        <x:v>Miami</x:v>
      </x:c>
      <x:c r="B22" s="165" t="str">
        <x:v>pickleball</x:v>
      </x:c>
      <x:c r="C22" s="169" t="str">
        <x:v>Tropical Park Pickleball Courts</x:v>
      </x:c>
      <x:c r="D22" s="169" t="str">
        <x:v>Tropical Park</x:v>
      </x:c>
      <x:c r="E22" s="169" t="str">
        <x:v>7900 SW 40th St</x:v>
      </x:c>
      <x:c r="F22" s="169" t="str">
        <x:v>Miami</x:v>
      </x:c>
      <x:c r="G22" s="165" t="str">
        <x:v>FL</x:v>
      </x:c>
      <x:c r="H22" s="165" t="str">
        <x:v>33155</x:v>
      </x:c>
      <x:c r="I22" s="166" t="n">
        <x:v>25.732893</x:v>
      </x:c>
      <x:c r="J22" s="166" t="n">
        <x:v>-80.319927</x:v>
      </x:c>
      <x:c r="K22" s="165" t="str">
        <x:v>public_free</x:v>
      </x:c>
      <x:c r="L22" s="165" t="str">
        <x:v>outdoor</x:v>
      </x:c>
      <x:c r="M22" s="167"/>
      <x:c r="N22" s="165" t="str">
        <x:v>open_play_anchor</x:v>
      </x:c>
      <x:c r="O22" s="167" t="n">
        <x:v>92</x:v>
      </x:c>
      <x:c r="P22" s="165" t="str">
        <x:v>official</x:v>
      </x:c>
      <x:c r="Q22" s="165" t="str">
        <x:v>source_verified</x:v>
      </x:c>
      <x:c r="R22" s="170" t="str">
        <x:v>https://www.miamidade.gov/parks/tropical.asp</x:v>
      </x:c>
      <x:c r="S22" s="165" t="str">
        <x:v>OpenStreetMap Nominatim</x:v>
      </x:c>
      <x:c r="T22" s="165" t="str">
        <x:v>not_applicable</x:v>
      </x:c>
      <x:c r="U22" s="168"/>
      <x:c r="V22" s="165"/>
      <x:c r="W22" s="165" t="str">
        <x:f>IF(B22="pickleball","READY · SOURCE",IF(OR(T22="strong",T22="nearby"),"READY · SOURCE + DETECTION","REVIEW · SATELLITE"))</x:f>
        <x:v>READY · SOURCE</x:v>
      </x:c>
      <x:c r="X22" s="165" t="str">
        <x:f>IF(W22="REVIEW · SATELLITE","Confirm exact playing surface in imagery before production lock","")</x:f>
      </x:c>
    </x:row>
    <x:row r="23" ht="28" customHeight="1">
      <x:c r="A23" s="165" t="str">
        <x:v>Miami</x:v>
      </x:c>
      <x:c r="B23" s="165" t="str">
        <x:v>pickleball</x:v>
      </x:c>
      <x:c r="C23" s="169" t="str">
        <x:v>Miami Shores Tennis &amp; Pickleball Club</x:v>
      </x:c>
      <x:c r="D23" s="169" t="str">
        <x:v>Miami Shores</x:v>
      </x:c>
      <x:c r="E23" s="169" t="str">
        <x:v>825 NE 100th St</x:v>
      </x:c>
      <x:c r="F23" s="169" t="str">
        <x:v>Miami Shores</x:v>
      </x:c>
      <x:c r="G23" s="165" t="str">
        <x:v>FL</x:v>
      </x:c>
      <x:c r="H23" s="165" t="str">
        <x:v>33138</x:v>
      </x:c>
      <x:c r="I23" s="166" t="n">
        <x:v>25.8674557</x:v>
      </x:c>
      <x:c r="J23" s="166" t="n">
        <x:v>-80.1807216</x:v>
      </x:c>
      <x:c r="K23" s="165" t="str">
        <x:v>public_paid</x:v>
      </x:c>
      <x:c r="L23" s="165" t="str">
        <x:v>outdoor</x:v>
      </x:c>
      <x:c r="M23" s="167" t="n">
        <x:v>6</x:v>
      </x:c>
      <x:c r="N23" s="165" t="str">
        <x:v>open_play_anchor</x:v>
      </x:c>
      <x:c r="O23" s="167" t="n">
        <x:v>92</x:v>
      </x:c>
      <x:c r="P23" s="165" t="str">
        <x:v>venue</x:v>
      </x:c>
      <x:c r="Q23" s="165" t="str">
        <x:v>source_verified</x:v>
      </x:c>
      <x:c r="R23" s="170" t="str">
        <x:v>https://www.miamishorestennis.com/</x:v>
      </x:c>
      <x:c r="S23" s="165" t="str">
        <x:v>OpenStreetMap Nominatim</x:v>
      </x:c>
      <x:c r="T23" s="165" t="str">
        <x:v>not_applicable</x:v>
      </x:c>
      <x:c r="U23" s="168"/>
      <x:c r="V23" s="165"/>
      <x:c r="W23" s="165" t="str">
        <x:f>IF(B23="pickleball","READY · SOURCE",IF(OR(T23="strong",T23="nearby"),"READY · SOURCE + DETECTION","REVIEW · SATELLITE"))</x:f>
        <x:v>READY · SOURCE</x:v>
      </x:c>
      <x:c r="X23" s="165" t="str">
        <x:f>IF(W23="REVIEW · SATELLITE","Confirm exact playing surface in imagery before production lock","")</x:f>
      </x:c>
    </x:row>
    <x:row r="24" ht="28" customHeight="1">
      <x:c r="A24" s="165" t="str">
        <x:v>Miami</x:v>
      </x:c>
      <x:c r="B24" s="165" t="str">
        <x:v>pickleball</x:v>
      </x:c>
      <x:c r="C24" s="169" t="str">
        <x:v>North Shore Park Pickleball Courts</x:v>
      </x:c>
      <x:c r="D24" s="169" t="str">
        <x:v>North Shore</x:v>
      </x:c>
      <x:c r="E24" s="169" t="str">
        <x:v>501 72nd St</x:v>
      </x:c>
      <x:c r="F24" s="169" t="str">
        <x:v>Miami Beach</x:v>
      </x:c>
      <x:c r="G24" s="165" t="str">
        <x:v>FL</x:v>
      </x:c>
      <x:c r="H24" s="165" t="str">
        <x:v>33141</x:v>
      </x:c>
      <x:c r="I24" s="166" t="n">
        <x:v>25.8573686</x:v>
      </x:c>
      <x:c r="J24" s="166" t="n">
        <x:v>-80.1229567</x:v>
      </x:c>
      <x:c r="K24" s="165" t="str">
        <x:v>public_paid</x:v>
      </x:c>
      <x:c r="L24" s="165" t="str">
        <x:v>outdoor</x:v>
      </x:c>
      <x:c r="M24" s="167"/>
      <x:c r="N24" s="165" t="str">
        <x:v>open_play_anchor</x:v>
      </x:c>
      <x:c r="O24" s="167" t="n">
        <x:v>92</x:v>
      </x:c>
      <x:c r="P24" s="165" t="str">
        <x:v>venue</x:v>
      </x:c>
      <x:c r="Q24" s="165" t="str">
        <x:v>source_verified</x:v>
      </x:c>
      <x:c r="R24" s="170" t="str">
        <x:v>https://www.mbtennisacademy.com/pickleball-openplay</x:v>
      </x:c>
      <x:c r="S24" s="165" t="str">
        <x:v>OpenStreetMap Nominatim</x:v>
      </x:c>
      <x:c r="T24" s="165" t="str">
        <x:v>not_applicable</x:v>
      </x:c>
      <x:c r="U24" s="168"/>
      <x:c r="V24" s="165"/>
      <x:c r="W24" s="165" t="str">
        <x:f>IF(B24="pickleball","READY · SOURCE",IF(OR(T24="strong",T24="nearby"),"READY · SOURCE + DETECTION","REVIEW · SATELLITE"))</x:f>
        <x:v>READY · SOURCE</x:v>
      </x:c>
      <x:c r="X24" s="165" t="str">
        <x:f>IF(W24="REVIEW · SATELLITE","Confirm exact playing surface in imagery before production lock","")</x:f>
      </x:c>
    </x:row>
    <x:row r="25" ht="28" customHeight="1">
      <x:c r="A25" s="165" t="str">
        <x:v>Miami</x:v>
      </x:c>
      <x:c r="B25" s="165" t="str">
        <x:v>pickleball</x:v>
      </x:c>
      <x:c r="C25" s="169" t="str">
        <x:v>Palmetto Bay Park</x:v>
      </x:c>
      <x:c r="D25" s="169" t="str">
        <x:v>Palmetto Bay</x:v>
      </x:c>
      <x:c r="E25" s="169" t="str">
        <x:v>17535 SW 95th Ave</x:v>
      </x:c>
      <x:c r="F25" s="169" t="str">
        <x:v>Palmetto Bay</x:v>
      </x:c>
      <x:c r="G25" s="165" t="str">
        <x:v>FL</x:v>
      </x:c>
      <x:c r="H25" s="165" t="str">
        <x:v>33157</x:v>
      </x:c>
      <x:c r="I25" s="166" t="n">
        <x:v>25.6070706</x:v>
      </x:c>
      <x:c r="J25" s="166" t="n">
        <x:v>-80.345553</x:v>
      </x:c>
      <x:c r="K25" s="165" t="str">
        <x:v>public_free</x:v>
      </x:c>
      <x:c r="L25" s="165" t="str">
        <x:v>outdoor</x:v>
      </x:c>
      <x:c r="M25" s="167"/>
      <x:c r="N25" s="165" t="str">
        <x:v>community_hub</x:v>
      </x:c>
      <x:c r="O25" s="167" t="n">
        <x:v>82</x:v>
      </x:c>
      <x:c r="P25" s="165" t="str">
        <x:v>official</x:v>
      </x:c>
      <x:c r="Q25" s="165" t="str">
        <x:v>source_verified</x:v>
      </x:c>
      <x:c r="R25" s="170" t="str">
        <x:v>https://www.palmettobay-fl.gov/Facilities/Facility/Details/Palmetto-Bay-Park-5</x:v>
      </x:c>
      <x:c r="S25" s="165" t="str">
        <x:v>OpenStreetMap Nominatim</x:v>
      </x:c>
      <x:c r="T25" s="165" t="str">
        <x:v>not_applicable</x:v>
      </x:c>
      <x:c r="U25" s="168"/>
      <x:c r="V25" s="165"/>
      <x:c r="W25" s="165" t="str">
        <x:f>IF(B25="pickleball","READY · SOURCE",IF(OR(T25="strong",T25="nearby"),"READY · SOURCE + DETECTION","REVIEW · SATELLITE"))</x:f>
        <x:v>READY · SOURCE</x:v>
      </x:c>
      <x:c r="X25" s="165" t="str">
        <x:f>IF(W25="REVIEW · SATELLITE","Confirm exact playing surface in imagery before production lock","")</x:f>
      </x:c>
    </x:row>
    <x:row r="26" ht="28" customHeight="1">
      <x:c r="A26" s="165" t="str">
        <x:v>Los Angeles</x:v>
      </x:c>
      <x:c r="B26" s="165" t="str">
        <x:v>basketball</x:v>
      </x:c>
      <x:c r="C26" s="169" t="str">
        <x:v>Venice Beach Basketball Courts</x:v>
      </x:c>
      <x:c r="D26" s="169" t="str">
        <x:v>Venice Beach</x:v>
      </x:c>
      <x:c r="E26" s="169" t="str">
        <x:v>1800 Ocean Front Walk</x:v>
      </x:c>
      <x:c r="F26" s="169" t="str">
        <x:v>Venice</x:v>
      </x:c>
      <x:c r="G26" s="165" t="str">
        <x:v>CA</x:v>
      </x:c>
      <x:c r="H26" s="165" t="str">
        <x:v>90291</x:v>
      </x:c>
      <x:c r="I26" s="166" t="n">
        <x:v>33.98567</x:v>
      </x:c>
      <x:c r="J26" s="166" t="n">
        <x:v>-118.472727</x:v>
      </x:c>
      <x:c r="K26" s="165" t="str">
        <x:v>public_free</x:v>
      </x:c>
      <x:c r="L26" s="165" t="str">
        <x:v>outdoor</x:v>
      </x:c>
      <x:c r="M26" s="167"/>
      <x:c r="N26" s="165" t="str">
        <x:v>iconic</x:v>
      </x:c>
      <x:c r="O26" s="167" t="n">
        <x:v>100</x:v>
      </x:c>
      <x:c r="P26" s="165" t="str">
        <x:v>editorial</x:v>
      </x:c>
      <x:c r="Q26" s="165" t="str">
        <x:v>source_verified</x:v>
      </x:c>
      <x:c r="R26" s="170" t="str">
        <x:v>https://www.redbull.com/us-en/famous-streetball-courts-usa</x:v>
      </x:c>
      <x:c r="S26" s="165" t="str">
        <x:v>OpenStreetMap Nominatim</x:v>
      </x:c>
      <x:c r="T26" s="165" t="str">
        <x:v>strong</x:v>
      </x:c>
      <x:c r="U26" s="168" t="n">
        <x:v>29</x:v>
      </x:c>
      <x:c r="V26" s="165" t="str">
        <x:v>35565733</x:v>
      </x:c>
      <x:c r="W26" s="165" t="str">
        <x:f>IF(B26="pickleball","READY · SOURCE",IF(OR(T26="strong",T26="nearby"),"READY · SOURCE + DETECTION","REVIEW · SATELLITE"))</x:f>
        <x:v>READY · SOURCE + DETECTION</x:v>
      </x:c>
      <x:c r="X26" s="165" t="str">
        <x:f>IF(W26="REVIEW · SATELLITE","Confirm exact playing surface in imagery before production lock","")</x:f>
      </x:c>
    </x:row>
    <x:row r="27" ht="28" customHeight="1">
      <x:c r="A27" s="165" t="str">
        <x:v>Los Angeles</x:v>
      </x:c>
      <x:c r="B27" s="165" t="str">
        <x:v>basketball</x:v>
      </x:c>
      <x:c r="C27" s="169" t="str">
        <x:v>Pan Pacific Park</x:v>
      </x:c>
      <x:c r="D27" s="169" t="str">
        <x:v>Pan Pacific</x:v>
      </x:c>
      <x:c r="E27" s="169" t="str">
        <x:v>7600 Beverly Blvd</x:v>
      </x:c>
      <x:c r="F27" s="169" t="str">
        <x:v>Los Angeles</x:v>
      </x:c>
      <x:c r="G27" s="165" t="str">
        <x:v>CA</x:v>
      </x:c>
      <x:c r="H27" s="165" t="str">
        <x:v>90036</x:v>
      </x:c>
      <x:c r="I27" s="166" t="n">
        <x:v>34.076049</x:v>
      </x:c>
      <x:c r="J27" s="166" t="n">
        <x:v>-118.355142</x:v>
      </x:c>
      <x:c r="K27" s="165" t="str">
        <x:v>public_free</x:v>
      </x:c>
      <x:c r="L27" s="165" t="str">
        <x:v>outdoor</x:v>
      </x:c>
      <x:c r="M27" s="167" t="n">
        <x:v>2</x:v>
      </x:c>
      <x:c r="N27" s="165" t="str">
        <x:v>pickup_anchor</x:v>
      </x:c>
      <x:c r="O27" s="167" t="n">
        <x:v>90</x:v>
      </x:c>
      <x:c r="P27" s="165" t="str">
        <x:v>editorial</x:v>
      </x:c>
      <x:c r="Q27" s="165" t="str">
        <x:v>source_verified</x:v>
      </x:c>
      <x:c r="R27" s="170" t="str">
        <x:v>https://www.cbsnews.com/losangeles/news/best-outdoor-basketball-courts-in-los-angeles</x:v>
      </x:c>
      <x:c r="S27" s="165" t="str">
        <x:v>OpenStreetMap Nominatim</x:v>
      </x:c>
      <x:c r="T27" s="165" t="str">
        <x:v>nearby</x:v>
      </x:c>
      <x:c r="U27" s="168" t="n">
        <x:v>140.7</x:v>
      </x:c>
      <x:c r="V27" s="165" t="str">
        <x:v>202014022</x:v>
      </x:c>
      <x:c r="W27" s="165" t="str">
        <x:f>IF(B27="pickleball","READY · SOURCE",IF(OR(T27="strong",T27="nearby"),"READY · SOURCE + DETECTION","REVIEW · SATELLITE"))</x:f>
        <x:v>READY · SOURCE + DETECTION</x:v>
      </x:c>
      <x:c r="X27" s="165" t="str">
        <x:f>IF(W27="REVIEW · SATELLITE","Confirm exact playing surface in imagery before production lock","")</x:f>
      </x:c>
    </x:row>
    <x:row r="28" ht="28" customHeight="1">
      <x:c r="A28" s="165" t="str">
        <x:v>Los Angeles</x:v>
      </x:c>
      <x:c r="B28" s="165" t="str">
        <x:v>basketball</x:v>
      </x:c>
      <x:c r="C28" s="169" t="str">
        <x:v>Col. Leon H. Washington Park</x:v>
      </x:c>
      <x:c r="D28" s="169" t="str">
        <x:v>Washington Park</x:v>
      </x:c>
      <x:c r="E28" s="169" t="str">
        <x:v>8908 S Maie Ave</x:v>
      </x:c>
      <x:c r="F28" s="169" t="str">
        <x:v>Los Angeles</x:v>
      </x:c>
      <x:c r="G28" s="165" t="str">
        <x:v>CA</x:v>
      </x:c>
      <x:c r="H28" s="165" t="str">
        <x:v>90002</x:v>
      </x:c>
      <x:c r="I28" s="166" t="n">
        <x:v>33.9499854</x:v>
      </x:c>
      <x:c r="J28" s="166" t="n">
        <x:v>-118.2445129</x:v>
      </x:c>
      <x:c r="K28" s="165" t="str">
        <x:v>public_free</x:v>
      </x:c>
      <x:c r="L28" s="165" t="str">
        <x:v>mixed</x:v>
      </x:c>
      <x:c r="M28" s="167"/>
      <x:c r="N28" s="165" t="str">
        <x:v>iconic</x:v>
      </x:c>
      <x:c r="O28" s="167" t="n">
        <x:v>100</x:v>
      </x:c>
      <x:c r="P28" s="165" t="str">
        <x:v>official</x:v>
      </x:c>
      <x:c r="Q28" s="165" t="str">
        <x:v>source_verified</x:v>
      </x:c>
      <x:c r="R28" s="170" t="str">
        <x:v>https://locator.lacounty.gov/lac/Location/3179832/col-leon-h-washington-park</x:v>
      </x:c>
      <x:c r="S28" s="165" t="str">
        <x:v>OpenStreetMap Nominatim</x:v>
      </x:c>
      <x:c r="T28" s="165" t="str">
        <x:v>none</x:v>
      </x:c>
      <x:c r="U28" s="168"/>
      <x:c r="V28" s="165"/>
      <x:c r="W28" s="165" t="str">
        <x:f>IF(B28="pickleball","READY · SOURCE",IF(OR(T28="strong",T28="nearby"),"READY · SOURCE + DETECTION","REVIEW · SATELLITE"))</x:f>
        <x:v>REVIEW · SATELLITE</x:v>
      </x:c>
      <x:c r="X28" s="165" t="str">
        <x:f>IF(W28="REVIEW · SATELLITE","Confirm exact playing surface in imagery before production lock","")</x:f>
        <x:v>Confirm exact playing surface in imagery before production lock</x:v>
      </x:c>
    </x:row>
    <x:row r="29" ht="28" customHeight="1">
      <x:c r="A29" s="165" t="str">
        <x:v>Los Angeles</x:v>
      </x:c>
      <x:c r="B29" s="165" t="str">
        <x:v>basketball</x:v>
      </x:c>
      <x:c r="C29" s="169" t="str">
        <x:v>Rancho Cienega Sports Complex</x:v>
      </x:c>
      <x:c r="D29" s="169" t="str">
        <x:v>Rancho Cienega</x:v>
      </x:c>
      <x:c r="E29" s="169" t="str">
        <x:v>5001 Obama Blvd</x:v>
      </x:c>
      <x:c r="F29" s="169" t="str">
        <x:v>Los Angeles</x:v>
      </x:c>
      <x:c r="G29" s="165" t="str">
        <x:v>CA</x:v>
      </x:c>
      <x:c r="H29" s="165" t="str">
        <x:v>90016</x:v>
      </x:c>
      <x:c r="I29" s="166" t="n">
        <x:v>34.0229782</x:v>
      </x:c>
      <x:c r="J29" s="166" t="n">
        <x:v>-118.3514764</x:v>
      </x:c>
      <x:c r="K29" s="165" t="str">
        <x:v>public_free</x:v>
      </x:c>
      <x:c r="L29" s="165" t="str">
        <x:v>mixed</x:v>
      </x:c>
      <x:c r="M29" s="167"/>
      <x:c r="N29" s="165" t="str">
        <x:v>community_hub</x:v>
      </x:c>
      <x:c r="O29" s="167" t="n">
        <x:v>82</x:v>
      </x:c>
      <x:c r="P29" s="165" t="str">
        <x:v>official</x:v>
      </x:c>
      <x:c r="Q29" s="165" t="str">
        <x:v>source_verified</x:v>
      </x:c>
      <x:c r="R29" s="170" t="str">
        <x:v>https://www.laparks.org/reccenter/rancho-cienega</x:v>
      </x:c>
      <x:c r="S29" s="165" t="str">
        <x:v>OpenStreetMap Nominatim</x:v>
      </x:c>
      <x:c r="T29" s="165" t="str">
        <x:v>none</x:v>
      </x:c>
      <x:c r="U29" s="168"/>
      <x:c r="V29" s="165"/>
      <x:c r="W29" s="165" t="str">
        <x:f>IF(B29="pickleball","READY · SOURCE",IF(OR(T29="strong",T29="nearby"),"READY · SOURCE + DETECTION","REVIEW · SATELLITE"))</x:f>
        <x:v>REVIEW · SATELLITE</x:v>
      </x:c>
      <x:c r="X29" s="165" t="str">
        <x:f>IF(W29="REVIEW · SATELLITE","Confirm exact playing surface in imagery before production lock","")</x:f>
        <x:v>Confirm exact playing surface in imagery before production lock</x:v>
      </x:c>
    </x:row>
    <x:row r="30" ht="28" customHeight="1">
      <x:c r="A30" s="165" t="str">
        <x:v>Los Angeles</x:v>
      </x:c>
      <x:c r="B30" s="165" t="str">
        <x:v>pickleball</x:v>
      </x:c>
      <x:c r="C30" s="169" t="str">
        <x:v>Plummer Park Pickleball Courts</x:v>
      </x:c>
      <x:c r="D30" s="169" t="str">
        <x:v>Plummer Park</x:v>
      </x:c>
      <x:c r="E30" s="169" t="str">
        <x:v>7377 Santa Monica Blvd</x:v>
      </x:c>
      <x:c r="F30" s="169" t="str">
        <x:v>West Hollywood</x:v>
      </x:c>
      <x:c r="G30" s="165" t="str">
        <x:v>CA</x:v>
      </x:c>
      <x:c r="H30" s="165" t="str">
        <x:v>90046</x:v>
      </x:c>
      <x:c r="I30" s="166" t="n">
        <x:v>34.0906544</x:v>
      </x:c>
      <x:c r="J30" s="166" t="n">
        <x:v>-118.3506583</x:v>
      </x:c>
      <x:c r="K30" s="165" t="str">
        <x:v>public_free</x:v>
      </x:c>
      <x:c r="L30" s="165" t="str">
        <x:v>outdoor</x:v>
      </x:c>
      <x:c r="M30" s="167"/>
      <x:c r="N30" s="165" t="str">
        <x:v>open_play_anchor</x:v>
      </x:c>
      <x:c r="O30" s="167" t="n">
        <x:v>92</x:v>
      </x:c>
      <x:c r="P30" s="165" t="str">
        <x:v>official</x:v>
      </x:c>
      <x:c r="Q30" s="165" t="str">
        <x:v>source_verified</x:v>
      </x:c>
      <x:c r="R30" s="170" t="str">
        <x:v>https://www.weho.org/community/recreation-services/parks/plummer-park</x:v>
      </x:c>
      <x:c r="S30" s="165" t="str">
        <x:v>OpenStreetMap Nominatim</x:v>
      </x:c>
      <x:c r="T30" s="165" t="str">
        <x:v>not_applicable</x:v>
      </x:c>
      <x:c r="U30" s="168"/>
      <x:c r="V30" s="165"/>
      <x:c r="W30" s="165" t="str">
        <x:f>IF(B30="pickleball","READY · SOURCE",IF(OR(T30="strong",T30="nearby"),"READY · SOURCE + DETECTION","REVIEW · SATELLITE"))</x:f>
        <x:v>READY · SOURCE</x:v>
      </x:c>
      <x:c r="X30" s="165" t="str">
        <x:f>IF(W30="REVIEW · SATELLITE","Confirm exact playing surface in imagery before production lock","")</x:f>
      </x:c>
    </x:row>
    <x:row r="31" ht="28" customHeight="1">
      <x:c r="A31" s="165" t="str">
        <x:v>Los Angeles</x:v>
      </x:c>
      <x:c r="B31" s="165" t="str">
        <x:v>pickleball</x:v>
      </x:c>
      <x:c r="C31" s="169" t="str">
        <x:v>Memorial Park Pickleball Courts</x:v>
      </x:c>
      <x:c r="D31" s="169" t="str">
        <x:v>Memorial Park</x:v>
      </x:c>
      <x:c r="E31" s="169" t="str">
        <x:v>1401 Olympic Blvd</x:v>
      </x:c>
      <x:c r="F31" s="169" t="str">
        <x:v>Santa Monica</x:v>
      </x:c>
      <x:c r="G31" s="165" t="str">
        <x:v>CA</x:v>
      </x:c>
      <x:c r="H31" s="165" t="str">
        <x:v>90404</x:v>
      </x:c>
      <x:c r="I31" s="166" t="n">
        <x:v>34.019769</x:v>
      </x:c>
      <x:c r="J31" s="166" t="n">
        <x:v>-118.480427</x:v>
      </x:c>
      <x:c r="K31" s="165" t="str">
        <x:v>public_free</x:v>
      </x:c>
      <x:c r="L31" s="165" t="str">
        <x:v>outdoor</x:v>
      </x:c>
      <x:c r="M31" s="167"/>
      <x:c r="N31" s="165" t="str">
        <x:v>open_play_anchor</x:v>
      </x:c>
      <x:c r="O31" s="167" t="n">
        <x:v>92</x:v>
      </x:c>
      <x:c r="P31" s="165" t="str">
        <x:v>official</x:v>
      </x:c>
      <x:c r="Q31" s="165" t="str">
        <x:v>source_verified</x:v>
      </x:c>
      <x:c r="R31" s="170" t="str">
        <x:v>https://www.santamonica.gov/places/parks/memorial-park</x:v>
      </x:c>
      <x:c r="S31" s="165" t="str">
        <x:v>OpenStreetMap Nominatim</x:v>
      </x:c>
      <x:c r="T31" s="165" t="str">
        <x:v>not_applicable</x:v>
      </x:c>
      <x:c r="U31" s="168"/>
      <x:c r="V31" s="165"/>
      <x:c r="W31" s="165" t="str">
        <x:f>IF(B31="pickleball","READY · SOURCE",IF(OR(T31="strong",T31="nearby"),"READY · SOURCE + DETECTION","REVIEW · SATELLITE"))</x:f>
        <x:v>READY · SOURCE</x:v>
      </x:c>
      <x:c r="X31" s="165" t="str">
        <x:f>IF(W31="REVIEW · SATELLITE","Confirm exact playing surface in imagery before production lock","")</x:f>
      </x:c>
    </x:row>
    <x:row r="32" ht="28" customHeight="1">
      <x:c r="A32" s="165" t="str">
        <x:v>Los Angeles</x:v>
      </x:c>
      <x:c r="B32" s="165" t="str">
        <x:v>pickleball</x:v>
      </x:c>
      <x:c r="C32" s="169" t="str">
        <x:v>Mar Vista Recreation Center</x:v>
      </x:c>
      <x:c r="D32" s="169" t="str">
        <x:v>Mar Vista</x:v>
      </x:c>
      <x:c r="E32" s="169" t="str">
        <x:v>11430 Woodbine St</x:v>
      </x:c>
      <x:c r="F32" s="169" t="str">
        <x:v>Los Angeles</x:v>
      </x:c>
      <x:c r="G32" s="165" t="str">
        <x:v>CA</x:v>
      </x:c>
      <x:c r="H32" s="165" t="str">
        <x:v>90066</x:v>
      </x:c>
      <x:c r="I32" s="166" t="n">
        <x:v>34.0178894</x:v>
      </x:c>
      <x:c r="J32" s="166" t="n">
        <x:v>-118.4293305</x:v>
      </x:c>
      <x:c r="K32" s="165" t="str">
        <x:v>public_free</x:v>
      </x:c>
      <x:c r="L32" s="165" t="str">
        <x:v>outdoor</x:v>
      </x:c>
      <x:c r="M32" s="167"/>
      <x:c r="N32" s="165" t="str">
        <x:v>community_hub</x:v>
      </x:c>
      <x:c r="O32" s="167" t="n">
        <x:v>82</x:v>
      </x:c>
      <x:c r="P32" s="165" t="str">
        <x:v>official</x:v>
      </x:c>
      <x:c r="Q32" s="165" t="str">
        <x:v>source_verified</x:v>
      </x:c>
      <x:c r="R32" s="170" t="str">
        <x:v>https://www.laparks.org/reccenter/mar-vista</x:v>
      </x:c>
      <x:c r="S32" s="165" t="str">
        <x:v>OpenStreetMap Nominatim</x:v>
      </x:c>
      <x:c r="T32" s="165" t="str">
        <x:v>not_applicable</x:v>
      </x:c>
      <x:c r="U32" s="168"/>
      <x:c r="V32" s="165"/>
      <x:c r="W32" s="165" t="str">
        <x:f>IF(B32="pickleball","READY · SOURCE",IF(OR(T32="strong",T32="nearby"),"READY · SOURCE + DETECTION","REVIEW · SATELLITE"))</x:f>
        <x:v>READY · SOURCE</x:v>
      </x:c>
      <x:c r="X32" s="165" t="str">
        <x:f>IF(W32="REVIEW · SATELLITE","Confirm exact playing surface in imagery before production lock","")</x:f>
      </x:c>
    </x:row>
    <x:row r="33" ht="28" customHeight="1">
      <x:c r="A33" s="165" t="str">
        <x:v>Los Angeles</x:v>
      </x:c>
      <x:c r="B33" s="165" t="str">
        <x:v>pickleball</x:v>
      </x:c>
      <x:c r="C33" s="169" t="str">
        <x:v>Cheviot Hills Recreation Center</x:v>
      </x:c>
      <x:c r="D33" s="169" t="str">
        <x:v>Cheviot Hills</x:v>
      </x:c>
      <x:c r="E33" s="169" t="str">
        <x:v>2551 Motor Ave</x:v>
      </x:c>
      <x:c r="F33" s="169" t="str">
        <x:v>Los Angeles</x:v>
      </x:c>
      <x:c r="G33" s="165" t="str">
        <x:v>CA</x:v>
      </x:c>
      <x:c r="H33" s="165" t="str">
        <x:v>90064</x:v>
      </x:c>
      <x:c r="I33" s="166" t="n">
        <x:v>34.0468111</x:v>
      </x:c>
      <x:c r="J33" s="166" t="n">
        <x:v>-118.4081458</x:v>
      </x:c>
      <x:c r="K33" s="165" t="str">
        <x:v>public_free</x:v>
      </x:c>
      <x:c r="L33" s="165" t="str">
        <x:v>outdoor</x:v>
      </x:c>
      <x:c r="M33" s="167"/>
      <x:c r="N33" s="165" t="str">
        <x:v>neighborhood_hub</x:v>
      </x:c>
      <x:c r="O33" s="167" t="n">
        <x:v>78</x:v>
      </x:c>
      <x:c r="P33" s="165" t="str">
        <x:v>official</x:v>
      </x:c>
      <x:c r="Q33" s="165" t="str">
        <x:v>source_verified</x:v>
      </x:c>
      <x:c r="R33" s="170" t="str">
        <x:v>https://www.laparks.org/reccenter/cheviot-hills</x:v>
      </x:c>
      <x:c r="S33" s="165" t="str">
        <x:v>OpenStreetMap Nominatim</x:v>
      </x:c>
      <x:c r="T33" s="165" t="str">
        <x:v>not_applicable</x:v>
      </x:c>
      <x:c r="U33" s="168"/>
      <x:c r="V33" s="165"/>
      <x:c r="W33" s="165" t="str">
        <x:f>IF(B33="pickleball","READY · SOURCE",IF(OR(T33="strong",T33="nearby"),"READY · SOURCE + DETECTION","REVIEW · SATELLITE"))</x:f>
        <x:v>READY · SOURCE</x:v>
      </x:c>
      <x:c r="X33" s="165" t="str">
        <x:f>IF(W33="REVIEW · SATELLITE","Confirm exact playing surface in imagery before production lock","")</x:f>
      </x:c>
    </x:row>
    <x:row r="34" ht="28" customHeight="1">
      <x:c r="A34" s="165" t="str">
        <x:v>Houston</x:v>
      </x:c>
      <x:c r="B34" s="165" t="str">
        <x:v>basketball</x:v>
      </x:c>
      <x:c r="C34" s="169" t="str">
        <x:v>Fonde Recreation Center</x:v>
      </x:c>
      <x:c r="D34" s="169" t="str">
        <x:v>Fonde Rec</x:v>
      </x:c>
      <x:c r="E34" s="169" t="str">
        <x:v>110 Sabine St</x:v>
      </x:c>
      <x:c r="F34" s="169" t="str">
        <x:v>Houston</x:v>
      </x:c>
      <x:c r="G34" s="165" t="str">
        <x:v>TX</x:v>
      </x:c>
      <x:c r="H34" s="165" t="str">
        <x:v>77007</x:v>
      </x:c>
      <x:c r="I34" s="166" t="n">
        <x:v>29.7629552</x:v>
      </x:c>
      <x:c r="J34" s="166" t="n">
        <x:v>-95.3750088</x:v>
      </x:c>
      <x:c r="K34" s="165" t="str">
        <x:v>public_free</x:v>
      </x:c>
      <x:c r="L34" s="165" t="str">
        <x:v>indoor</x:v>
      </x:c>
      <x:c r="M34" s="167"/>
      <x:c r="N34" s="165" t="str">
        <x:v>iconic</x:v>
      </x:c>
      <x:c r="O34" s="167" t="n">
        <x:v>100</x:v>
      </x:c>
      <x:c r="P34" s="165" t="str">
        <x:v>official</x:v>
      </x:c>
      <x:c r="Q34" s="165" t="str">
        <x:v>source_verified</x:v>
      </x:c>
      <x:c r="R34" s="170" t="str">
        <x:v>https://www.houstontx.gov/parks/communitycenters/fondecc.html</x:v>
      </x:c>
      <x:c r="S34" s="165" t="str">
        <x:v>OpenStreetMap Nominatim</x:v>
      </x:c>
      <x:c r="T34" s="165" t="str">
        <x:v>review</x:v>
      </x:c>
      <x:c r="U34" s="168" t="n">
        <x:v>421.4</x:v>
      </x:c>
      <x:c r="V34" s="165" t="str">
        <x:v>984550959</x:v>
      </x:c>
      <x:c r="W34" s="165" t="str">
        <x:f>IF(B34="pickleball","READY · SOURCE",IF(OR(T34="strong",T34="nearby"),"READY · SOURCE + DETECTION","REVIEW · SATELLITE"))</x:f>
        <x:v>REVIEW · SATELLITE</x:v>
      </x:c>
      <x:c r="X34" s="165" t="str">
        <x:f>IF(W34="REVIEW · SATELLITE","Confirm exact playing surface in imagery before production lock","")</x:f>
        <x:v>Confirm exact playing surface in imagery before production lock</x:v>
      </x:c>
    </x:row>
    <x:row r="35" ht="28" customHeight="1">
      <x:c r="A35" s="165" t="str">
        <x:v>Houston</x:v>
      </x:c>
      <x:c r="B35" s="165" t="str">
        <x:v>basketball</x:v>
      </x:c>
      <x:c r="C35" s="169" t="str">
        <x:v>Emancipation Park</x:v>
      </x:c>
      <x:c r="D35" s="169" t="str">
        <x:v>Emancipation</x:v>
      </x:c>
      <x:c r="E35" s="169" t="str">
        <x:v>3018 Emancipation Ave</x:v>
      </x:c>
      <x:c r="F35" s="169" t="str">
        <x:v>Houston</x:v>
      </x:c>
      <x:c r="G35" s="165" t="str">
        <x:v>TX</x:v>
      </x:c>
      <x:c r="H35" s="165" t="str">
        <x:v>77004</x:v>
      </x:c>
      <x:c r="I35" s="166" t="n">
        <x:v>29.7356906</x:v>
      </x:c>
      <x:c r="J35" s="166" t="n">
        <x:v>-95.3648855</x:v>
      </x:c>
      <x:c r="K35" s="165" t="str">
        <x:v>public_free</x:v>
      </x:c>
      <x:c r="L35" s="165" t="str">
        <x:v>outdoor</x:v>
      </x:c>
      <x:c r="M35" s="167"/>
      <x:c r="N35" s="165" t="str">
        <x:v>community_hub</x:v>
      </x:c>
      <x:c r="O35" s="167" t="n">
        <x:v>82</x:v>
      </x:c>
      <x:c r="P35" s="165" t="str">
        <x:v>venue</x:v>
      </x:c>
      <x:c r="Q35" s="165" t="str">
        <x:v>source_verified</x:v>
      </x:c>
      <x:c r="R35" s="170" t="str">
        <x:v>https://epconservancy.org/</x:v>
      </x:c>
      <x:c r="S35" s="165" t="str">
        <x:v>OpenStreetMap Nominatim</x:v>
      </x:c>
      <x:c r="T35" s="165" t="str">
        <x:v>strong</x:v>
      </x:c>
      <x:c r="U35" s="168" t="n">
        <x:v>38.8</x:v>
      </x:c>
      <x:c r="V35" s="165" t="str">
        <x:v>398628438</x:v>
      </x:c>
      <x:c r="W35" s="165" t="str">
        <x:f>IF(B35="pickleball","READY · SOURCE",IF(OR(T35="strong",T35="nearby"),"READY · SOURCE + DETECTION","REVIEW · SATELLITE"))</x:f>
        <x:v>READY · SOURCE + DETECTION</x:v>
      </x:c>
      <x:c r="X35" s="165" t="str">
        <x:f>IF(W35="REVIEW · SATELLITE","Confirm exact playing surface in imagery before production lock","")</x:f>
      </x:c>
    </x:row>
    <x:row r="36" ht="28" customHeight="1">
      <x:c r="A36" s="165" t="str">
        <x:v>Houston</x:v>
      </x:c>
      <x:c r="B36" s="165" t="str">
        <x:v>basketball</x:v>
      </x:c>
      <x:c r="C36" s="169" t="str">
        <x:v>MacGregor Park</x:v>
      </x:c>
      <x:c r="D36" s="169" t="str">
        <x:v>MacGregor</x:v>
      </x:c>
      <x:c r="E36" s="169" t="str">
        <x:v>5225 Calhoun Rd</x:v>
      </x:c>
      <x:c r="F36" s="169" t="str">
        <x:v>Houston</x:v>
      </x:c>
      <x:c r="G36" s="165" t="str">
        <x:v>TX</x:v>
      </x:c>
      <x:c r="H36" s="165" t="str">
        <x:v>77021</x:v>
      </x:c>
      <x:c r="I36" s="166" t="n">
        <x:v>29.710711</x:v>
      </x:c>
      <x:c r="J36" s="166" t="n">
        <x:v>-95.3415957</x:v>
      </x:c>
      <x:c r="K36" s="165" t="str">
        <x:v>public_free</x:v>
      </x:c>
      <x:c r="L36" s="165" t="str">
        <x:v>outdoor</x:v>
      </x:c>
      <x:c r="M36" s="167"/>
      <x:c r="N36" s="165" t="str">
        <x:v>pickup_anchor</x:v>
      </x:c>
      <x:c r="O36" s="167" t="n">
        <x:v>90</x:v>
      </x:c>
      <x:c r="P36" s="165" t="str">
        <x:v>official</x:v>
      </x:c>
      <x:c r="Q36" s="165" t="str">
        <x:v>source_verified</x:v>
      </x:c>
      <x:c r="R36" s="170" t="str">
        <x:v>https://www.houstontx.gov/parks/parksites/macgregorpark.html</x:v>
      </x:c>
      <x:c r="S36" s="165" t="str">
        <x:v>OpenStreetMap Nominatim</x:v>
      </x:c>
      <x:c r="T36" s="165" t="str">
        <x:v>none</x:v>
      </x:c>
      <x:c r="U36" s="168"/>
      <x:c r="V36" s="165"/>
      <x:c r="W36" s="165" t="str">
        <x:f>IF(B36="pickleball","READY · SOURCE",IF(OR(T36="strong",T36="nearby"),"READY · SOURCE + DETECTION","REVIEW · SATELLITE"))</x:f>
        <x:v>REVIEW · SATELLITE</x:v>
      </x:c>
      <x:c r="X36" s="165" t="str">
        <x:f>IF(W36="REVIEW · SATELLITE","Confirm exact playing surface in imagery before production lock","")</x:f>
        <x:v>Confirm exact playing surface in imagery before production lock</x:v>
      </x:c>
    </x:row>
    <x:row r="37" ht="28" customHeight="1">
      <x:c r="A37" s="165" t="str">
        <x:v>Houston</x:v>
      </x:c>
      <x:c r="B37" s="165" t="str">
        <x:v>basketball</x:v>
      </x:c>
      <x:c r="C37" s="169" t="str">
        <x:v>Root Memorial Square</x:v>
      </x:c>
      <x:c r="D37" s="169" t="str">
        <x:v>Root Square</x:v>
      </x:c>
      <x:c r="E37" s="169" t="str">
        <x:v>1400 Clay St</x:v>
      </x:c>
      <x:c r="F37" s="169" t="str">
        <x:v>Houston</x:v>
      </x:c>
      <x:c r="G37" s="165" t="str">
        <x:v>TX</x:v>
      </x:c>
      <x:c r="H37" s="165" t="str">
        <x:v>77002</x:v>
      </x:c>
      <x:c r="I37" s="166" t="n">
        <x:v>29.751741</x:v>
      </x:c>
      <x:c r="J37" s="166" t="n">
        <x:v>-95.363759</x:v>
      </x:c>
      <x:c r="K37" s="165" t="str">
        <x:v>public_free</x:v>
      </x:c>
      <x:c r="L37" s="165" t="str">
        <x:v>outdoor</x:v>
      </x:c>
      <x:c r="M37" s="167" t="n">
        <x:v>1</x:v>
      </x:c>
      <x:c r="N37" s="165" t="str">
        <x:v>downtown_anchor</x:v>
      </x:c>
      <x:c r="O37" s="167" t="n">
        <x:v>74</x:v>
      </x:c>
      <x:c r="P37" s="165" t="str">
        <x:v>official</x:v>
      </x:c>
      <x:c r="Q37" s="165" t="str">
        <x:v>source_verified</x:v>
      </x:c>
      <x:c r="R37" s="170" t="str">
        <x:v>https://www.houstontx.gov/parks/parksites/rootmemorialsquare.html</x:v>
      </x:c>
      <x:c r="S37" s="165" t="str">
        <x:v>OpenStreetMap Nominatim</x:v>
      </x:c>
      <x:c r="T37" s="165" t="str">
        <x:v>strong</x:v>
      </x:c>
      <x:c r="U37" s="168" t="n">
        <x:v>55</x:v>
      </x:c>
      <x:c r="V37" s="165" t="str">
        <x:v>263245741</x:v>
      </x:c>
      <x:c r="W37" s="165" t="str">
        <x:f>IF(B37="pickleball","READY · SOURCE",IF(OR(T37="strong",T37="nearby"),"READY · SOURCE + DETECTION","REVIEW · SATELLITE"))</x:f>
        <x:v>READY · SOURCE + DETECTION</x:v>
      </x:c>
      <x:c r="X37" s="165" t="str">
        <x:f>IF(W37="REVIEW · SATELLITE","Confirm exact playing surface in imagery before production lock","")</x:f>
      </x:c>
    </x:row>
    <x:row r="38" ht="28" customHeight="1">
      <x:c r="A38" s="165" t="str">
        <x:v>Houston</x:v>
      </x:c>
      <x:c r="B38" s="165" t="str">
        <x:v>pickleball</x:v>
      </x:c>
      <x:c r="C38" s="169" t="str">
        <x:v>Houston Pickleball Center</x:v>
      </x:c>
      <x:c r="D38" s="169" t="str">
        <x:v>Houston Pickleball</x:v>
      </x:c>
      <x:c r="E38" s="169" t="str">
        <x:v>12233 Robin Blvd</x:v>
      </x:c>
      <x:c r="F38" s="169" t="str">
        <x:v>Houston</x:v>
      </x:c>
      <x:c r="G38" s="165" t="str">
        <x:v>TX</x:v>
      </x:c>
      <x:c r="H38" s="165" t="str">
        <x:v>77045</x:v>
      </x:c>
      <x:c r="I38" s="166" t="n">
        <x:v>29.6338243</x:v>
      </x:c>
      <x:c r="J38" s="166" t="n">
        <x:v>-95.406236</x:v>
      </x:c>
      <x:c r="K38" s="165" t="str">
        <x:v>private_paid</x:v>
      </x:c>
      <x:c r="L38" s="165" t="str">
        <x:v>indoor</x:v>
      </x:c>
      <x:c r="M38" s="167" t="n">
        <x:v>11</x:v>
      </x:c>
      <x:c r="N38" s="165" t="str">
        <x:v>open_play_anchor</x:v>
      </x:c>
      <x:c r="O38" s="167" t="n">
        <x:v>92</x:v>
      </x:c>
      <x:c r="P38" s="165" t="str">
        <x:v>venue</x:v>
      </x:c>
      <x:c r="Q38" s="165" t="str">
        <x:v>source_verified</x:v>
      </x:c>
      <x:c r="R38" s="170" t="str">
        <x:v>https://houstonpickleballcenter.com/</x:v>
      </x:c>
      <x:c r="S38" s="165" t="str">
        <x:v>OpenStreetMap Nominatim</x:v>
      </x:c>
      <x:c r="T38" s="165" t="str">
        <x:v>not_applicable</x:v>
      </x:c>
      <x:c r="U38" s="168"/>
      <x:c r="V38" s="165"/>
      <x:c r="W38" s="165" t="str">
        <x:f>IF(B38="pickleball","READY · SOURCE",IF(OR(T38="strong",T38="nearby"),"READY · SOURCE + DETECTION","REVIEW · SATELLITE"))</x:f>
        <x:v>READY · SOURCE</x:v>
      </x:c>
      <x:c r="X38" s="165" t="str">
        <x:f>IF(W38="REVIEW · SATELLITE","Confirm exact playing surface in imagery before production lock","")</x:f>
      </x:c>
    </x:row>
    <x:row r="39" ht="28" customHeight="1">
      <x:c r="A39" s="165" t="str">
        <x:v>Houston</x:v>
      </x:c>
      <x:c r="B39" s="165" t="str">
        <x:v>pickleball</x:v>
      </x:c>
      <x:c r="C39" s="169" t="str">
        <x:v>Bumpy Pickle</x:v>
      </x:c>
      <x:c r="D39" s="169" t="str">
        <x:v>Bumpy Pickle</x:v>
      </x:c>
      <x:c r="E39" s="169" t="str">
        <x:v>554 Lockwood Dr</x:v>
      </x:c>
      <x:c r="F39" s="169" t="str">
        <x:v>Houston</x:v>
      </x:c>
      <x:c r="G39" s="165" t="str">
        <x:v>TX</x:v>
      </x:c>
      <x:c r="H39" s="165" t="str">
        <x:v>77011</x:v>
      </x:c>
      <x:c r="I39" s="166" t="n">
        <x:v>29.7525981</x:v>
      </x:c>
      <x:c r="J39" s="166" t="n">
        <x:v>-95.3226971</x:v>
      </x:c>
      <x:c r="K39" s="165" t="str">
        <x:v>private_paid</x:v>
      </x:c>
      <x:c r="L39" s="165" t="str">
        <x:v>outdoor</x:v>
      </x:c>
      <x:c r="M39" s="167" t="n">
        <x:v>9</x:v>
      </x:c>
      <x:c r="N39" s="165" t="str">
        <x:v>open_play_anchor</x:v>
      </x:c>
      <x:c r="O39" s="167" t="n">
        <x:v>92</x:v>
      </x:c>
      <x:c r="P39" s="165" t="str">
        <x:v>venue</x:v>
      </x:c>
      <x:c r="Q39" s="165" t="str">
        <x:v>source_verified</x:v>
      </x:c>
      <x:c r="R39" s="170" t="str">
        <x:v>https://bumpypickle.com/open-play</x:v>
      </x:c>
      <x:c r="S39" s="165" t="str">
        <x:v>OpenStreetMap Nominatim</x:v>
      </x:c>
      <x:c r="T39" s="165" t="str">
        <x:v>not_applicable</x:v>
      </x:c>
      <x:c r="U39" s="168"/>
      <x:c r="V39" s="165"/>
      <x:c r="W39" s="165" t="str">
        <x:f>IF(B39="pickleball","READY · SOURCE",IF(OR(T39="strong",T39="nearby"),"READY · SOURCE + DETECTION","REVIEW · SATELLITE"))</x:f>
        <x:v>READY · SOURCE</x:v>
      </x:c>
      <x:c r="X39" s="165" t="str">
        <x:f>IF(W39="REVIEW · SATELLITE","Confirm exact playing surface in imagery before production lock","")</x:f>
      </x:c>
    </x:row>
    <x:row r="40" ht="28" customHeight="1">
      <x:c r="A40" s="165" t="str">
        <x:v>Houston</x:v>
      </x:c>
      <x:c r="B40" s="165" t="str">
        <x:v>pickleball</x:v>
      </x:c>
      <x:c r="C40" s="169" t="str">
        <x:v>East River 9</x:v>
      </x:c>
      <x:c r="D40" s="169" t="str">
        <x:v>East River 9</x:v>
      </x:c>
      <x:c r="E40" s="169" t="str">
        <x:v>65 Hirsch Rd</x:v>
      </x:c>
      <x:c r="F40" s="169" t="str">
        <x:v>Houston</x:v>
      </x:c>
      <x:c r="G40" s="165" t="str">
        <x:v>TX</x:v>
      </x:c>
      <x:c r="H40" s="165" t="str">
        <x:v>77020</x:v>
      </x:c>
      <x:c r="I40" s="166" t="n">
        <x:v>29.7617406</x:v>
      </x:c>
      <x:c r="J40" s="166" t="n">
        <x:v>-95.3317626</x:v>
      </x:c>
      <x:c r="K40" s="165" t="str">
        <x:v>private_paid</x:v>
      </x:c>
      <x:c r="L40" s="165" t="str">
        <x:v>outdoor</x:v>
      </x:c>
      <x:c r="M40" s="167"/>
      <x:c r="N40" s="165" t="str">
        <x:v>social_anchor</x:v>
      </x:c>
      <x:c r="O40" s="167" t="n">
        <x:v>86</x:v>
      </x:c>
      <x:c r="P40" s="165" t="str">
        <x:v>venue</x:v>
      </x:c>
      <x:c r="Q40" s="165" t="str">
        <x:v>source_verified</x:v>
      </x:c>
      <x:c r="R40" s="170" t="str">
        <x:v>https://eastriver9.com/pickleball/</x:v>
      </x:c>
      <x:c r="S40" s="165" t="str">
        <x:v>OpenStreetMap Nominatim</x:v>
      </x:c>
      <x:c r="T40" s="165" t="str">
        <x:v>not_applicable</x:v>
      </x:c>
      <x:c r="U40" s="168"/>
      <x:c r="V40" s="165"/>
      <x:c r="W40" s="165" t="str">
        <x:f>IF(B40="pickleball","READY · SOURCE",IF(OR(T40="strong",T40="nearby"),"READY · SOURCE + DETECTION","REVIEW · SATELLITE"))</x:f>
        <x:v>READY · SOURCE</x:v>
      </x:c>
      <x:c r="X40" s="165" t="str">
        <x:f>IF(W40="REVIEW · SATELLITE","Confirm exact playing surface in imagery before production lock","")</x:f>
      </x:c>
    </x:row>
    <x:row r="41" ht="28" customHeight="1">
      <x:c r="A41" s="165" t="str">
        <x:v>Houston</x:v>
      </x:c>
      <x:c r="B41" s="165" t="str">
        <x:v>pickleball</x:v>
      </x:c>
      <x:c r="C41" s="169" t="str">
        <x:v>Jaycee Park Pickleball Courts</x:v>
      </x:c>
      <x:c r="D41" s="169" t="str">
        <x:v>Jaycee Park</x:v>
      </x:c>
      <x:c r="E41" s="169" t="str">
        <x:v>1300 Seamist Dr</x:v>
      </x:c>
      <x:c r="F41" s="169" t="str">
        <x:v>Houston</x:v>
      </x:c>
      <x:c r="G41" s="165" t="str">
        <x:v>TX</x:v>
      </x:c>
      <x:c r="H41" s="165" t="str">
        <x:v>77008</x:v>
      </x:c>
      <x:c r="I41" s="166" t="n">
        <x:v>29.793367</x:v>
      </x:c>
      <x:c r="J41" s="166" t="n">
        <x:v>-95.437836</x:v>
      </x:c>
      <x:c r="K41" s="165" t="str">
        <x:v>public_free</x:v>
      </x:c>
      <x:c r="L41" s="165" t="str">
        <x:v>outdoor</x:v>
      </x:c>
      <x:c r="M41" s="167" t="n">
        <x:v>2</x:v>
      </x:c>
      <x:c r="N41" s="165" t="str">
        <x:v>community_hub</x:v>
      </x:c>
      <x:c r="O41" s="167" t="n">
        <x:v>82</x:v>
      </x:c>
      <x:c r="P41" s="165" t="str">
        <x:v>official</x:v>
      </x:c>
      <x:c r="Q41" s="165" t="str">
        <x:v>source_verified</x:v>
      </x:c>
      <x:c r="R41" s="170" t="str">
        <x:v>https://cp4.harriscountytx.gov/Explore/Parks/Precinct-4-Parks/jaycee</x:v>
      </x:c>
      <x:c r="S41" s="165" t="str">
        <x:v>OpenStreetMap Nominatim</x:v>
      </x:c>
      <x:c r="T41" s="165" t="str">
        <x:v>not_applicable</x:v>
      </x:c>
      <x:c r="U41" s="168"/>
      <x:c r="V41" s="165"/>
      <x:c r="W41" s="165" t="str">
        <x:f>IF(B41="pickleball","READY · SOURCE",IF(OR(T41="strong",T41="nearby"),"READY · SOURCE + DETECTION","REVIEW · SATELLITE"))</x:f>
        <x:v>READY · SOURCE</x:v>
      </x:c>
      <x:c r="X41" s="165" t="str">
        <x:f>IF(W41="REVIEW · SATELLITE","Confirm exact playing surface in imagery before production lock","")</x:f>
      </x:c>
    </x:row>
    <x:row r="42" ht="28" customHeight="1">
      <x:c r="A42" s="165" t="str">
        <x:v>Austin</x:v>
      </x:c>
      <x:c r="B42" s="165" t="str">
        <x:v>basketball</x:v>
      </x:c>
      <x:c r="C42" s="169" t="str">
        <x:v>Hancock Recreation Center</x:v>
      </x:c>
      <x:c r="D42" s="169" t="str">
        <x:v>Hancock</x:v>
      </x:c>
      <x:c r="E42" s="169" t="str">
        <x:v>811 E 41st St</x:v>
      </x:c>
      <x:c r="F42" s="169" t="str">
        <x:v>Austin</x:v>
      </x:c>
      <x:c r="G42" s="165" t="str">
        <x:v>TX</x:v>
      </x:c>
      <x:c r="H42" s="165" t="str">
        <x:v>78751</x:v>
      </x:c>
      <x:c r="I42" s="166" t="n">
        <x:v>30.2990529</x:v>
      </x:c>
      <x:c r="J42" s="166" t="n">
        <x:v>-97.7245946</x:v>
      </x:c>
      <x:c r="K42" s="165" t="str">
        <x:v>public_free</x:v>
      </x:c>
      <x:c r="L42" s="165" t="str">
        <x:v>outdoor</x:v>
      </x:c>
      <x:c r="M42" s="167" t="n">
        <x:v>2</x:v>
      </x:c>
      <x:c r="N42" s="165" t="str">
        <x:v>pickup_anchor</x:v>
      </x:c>
      <x:c r="O42" s="167" t="n">
        <x:v>90</x:v>
      </x:c>
      <x:c r="P42" s="165" t="str">
        <x:v>community</x:v>
      </x:c>
      <x:c r="Q42" s="165" t="str">
        <x:v>source_verified</x:v>
      </x:c>
      <x:c r="R42" s="170" t="str">
        <x:v>https://austinparks.org/blog/basketball-courts-austin-texas/</x:v>
      </x:c>
      <x:c r="S42" s="165" t="str">
        <x:v>OpenStreetMap Nominatim</x:v>
      </x:c>
      <x:c r="T42" s="165" t="str">
        <x:v>strong</x:v>
      </x:c>
      <x:c r="U42" s="168" t="n">
        <x:v>33.6</x:v>
      </x:c>
      <x:c r="V42" s="165" t="str">
        <x:v>900177898</x:v>
      </x:c>
      <x:c r="W42" s="165" t="str">
        <x:f>IF(B42="pickleball","READY · SOURCE",IF(OR(T42="strong",T42="nearby"),"READY · SOURCE + DETECTION","REVIEW · SATELLITE"))</x:f>
        <x:v>READY · SOURCE + DETECTION</x:v>
      </x:c>
      <x:c r="X42" s="165" t="str">
        <x:f>IF(W42="REVIEW · SATELLITE","Confirm exact playing surface in imagery before production lock","")</x:f>
      </x:c>
    </x:row>
    <x:row r="43" ht="28" customHeight="1">
      <x:c r="A43" s="165" t="str">
        <x:v>Austin</x:v>
      </x:c>
      <x:c r="B43" s="165" t="str">
        <x:v>basketball</x:v>
      </x:c>
      <x:c r="C43" s="169" t="str">
        <x:v>Givens Recreation Center</x:v>
      </x:c>
      <x:c r="D43" s="169" t="str">
        <x:v>Givens</x:v>
      </x:c>
      <x:c r="E43" s="169" t="str">
        <x:v>3811 E 12th St</x:v>
      </x:c>
      <x:c r="F43" s="169" t="str">
        <x:v>Austin</x:v>
      </x:c>
      <x:c r="G43" s="165" t="str">
        <x:v>TX</x:v>
      </x:c>
      <x:c r="H43" s="165" t="str">
        <x:v>78721</x:v>
      </x:c>
      <x:c r="I43" s="166" t="n">
        <x:v>30.2768</x:v>
      </x:c>
      <x:c r="J43" s="166" t="n">
        <x:v>-97.6902958</x:v>
      </x:c>
      <x:c r="K43" s="165" t="str">
        <x:v>public_free</x:v>
      </x:c>
      <x:c r="L43" s="165" t="str">
        <x:v>mixed</x:v>
      </x:c>
      <x:c r="M43" s="167"/>
      <x:c r="N43" s="165" t="str">
        <x:v>community_hub</x:v>
      </x:c>
      <x:c r="O43" s="167" t="n">
        <x:v>82</x:v>
      </x:c>
      <x:c r="P43" s="165" t="str">
        <x:v>community</x:v>
      </x:c>
      <x:c r="Q43" s="165" t="str">
        <x:v>source_verified</x:v>
      </x:c>
      <x:c r="R43" s="170" t="str">
        <x:v>https://austinparks.org/blog/basketball-courts-austin-texas/</x:v>
      </x:c>
      <x:c r="S43" s="165" t="str">
        <x:v>OpenStreetMap Nominatim</x:v>
      </x:c>
      <x:c r="T43" s="165" t="str">
        <x:v>review</x:v>
      </x:c>
      <x:c r="U43" s="168" t="n">
        <x:v>233.5</x:v>
      </x:c>
      <x:c r="V43" s="165" t="str">
        <x:v>583734035</x:v>
      </x:c>
      <x:c r="W43" s="165" t="str">
        <x:f>IF(B43="pickleball","READY · SOURCE",IF(OR(T43="strong",T43="nearby"),"READY · SOURCE + DETECTION","REVIEW · SATELLITE"))</x:f>
        <x:v>REVIEW · SATELLITE</x:v>
      </x:c>
      <x:c r="X43" s="165" t="str">
        <x:f>IF(W43="REVIEW · SATELLITE","Confirm exact playing surface in imagery before production lock","")</x:f>
        <x:v>Confirm exact playing surface in imagery before production lock</x:v>
      </x:c>
    </x:row>
    <x:row r="44" ht="28" customHeight="1">
      <x:c r="A44" s="165" t="str">
        <x:v>Austin</x:v>
      </x:c>
      <x:c r="B44" s="165" t="str">
        <x:v>basketball</x:v>
      </x:c>
      <x:c r="C44" s="169" t="str">
        <x:v>Pan American Recreation Center</x:v>
      </x:c>
      <x:c r="D44" s="169" t="str">
        <x:v>Pan Am</x:v>
      </x:c>
      <x:c r="E44" s="169" t="str">
        <x:v>2100 E 3rd St</x:v>
      </x:c>
      <x:c r="F44" s="169" t="str">
        <x:v>Austin</x:v>
      </x:c>
      <x:c r="G44" s="165" t="str">
        <x:v>TX</x:v>
      </x:c>
      <x:c r="H44" s="165" t="str">
        <x:v>78702</x:v>
      </x:c>
      <x:c r="I44" s="166" t="n">
        <x:v>30.2581662</x:v>
      </x:c>
      <x:c r="J44" s="166" t="n">
        <x:v>-97.7207643</x:v>
      </x:c>
      <x:c r="K44" s="165" t="str">
        <x:v>public_free</x:v>
      </x:c>
      <x:c r="L44" s="165" t="str">
        <x:v>mixed</x:v>
      </x:c>
      <x:c r="M44" s="167"/>
      <x:c r="N44" s="165" t="str">
        <x:v>community_hub</x:v>
      </x:c>
      <x:c r="O44" s="167" t="n">
        <x:v>82</x:v>
      </x:c>
      <x:c r="P44" s="165" t="str">
        <x:v>community</x:v>
      </x:c>
      <x:c r="Q44" s="165" t="str">
        <x:v>source_verified</x:v>
      </x:c>
      <x:c r="R44" s="170" t="str">
        <x:v>https://austinparks.org/blog/basketball-courts-austin-texas/</x:v>
      </x:c>
      <x:c r="S44" s="165" t="str">
        <x:v>OpenStreetMap Nominatim</x:v>
      </x:c>
      <x:c r="T44" s="165" t="str">
        <x:v>review</x:v>
      </x:c>
      <x:c r="U44" s="168" t="n">
        <x:v>315</x:v>
      </x:c>
      <x:c r="V44" s="165" t="str">
        <x:v>1259442487</x:v>
      </x:c>
      <x:c r="W44" s="165" t="str">
        <x:f>IF(B44="pickleball","READY · SOURCE",IF(OR(T44="strong",T44="nearby"),"READY · SOURCE + DETECTION","REVIEW · SATELLITE"))</x:f>
        <x:v>REVIEW · SATELLITE</x:v>
      </x:c>
      <x:c r="X44" s="165" t="str">
        <x:f>IF(W44="REVIEW · SATELLITE","Confirm exact playing surface in imagery before production lock","")</x:f>
        <x:v>Confirm exact playing surface in imagery before production lock</x:v>
      </x:c>
    </x:row>
    <x:row r="45" ht="28" customHeight="1">
      <x:c r="A45" s="165" t="str">
        <x:v>Austin</x:v>
      </x:c>
      <x:c r="B45" s="165" t="str">
        <x:v>basketball</x:v>
      </x:c>
      <x:c r="C45" s="169" t="str">
        <x:v>Garrison District Park</x:v>
      </x:c>
      <x:c r="D45" s="169" t="str">
        <x:v>Garrison</x:v>
      </x:c>
      <x:c r="E45" s="169" t="str">
        <x:v>6001 Manchaca Rd</x:v>
      </x:c>
      <x:c r="F45" s="169" t="str">
        <x:v>Austin</x:v>
      </x:c>
      <x:c r="G45" s="165" t="str">
        <x:v>TX</x:v>
      </x:c>
      <x:c r="H45" s="165" t="str">
        <x:v>78745</x:v>
      </x:c>
      <x:c r="I45" s="166" t="n">
        <x:v>30.1685841</x:v>
      </x:c>
      <x:c r="J45" s="166" t="n">
        <x:v>-97.8306185</x:v>
      </x:c>
      <x:c r="K45" s="165" t="str">
        <x:v>public_free</x:v>
      </x:c>
      <x:c r="L45" s="165" t="str">
        <x:v>outdoor</x:v>
      </x:c>
      <x:c r="M45" s="167"/>
      <x:c r="N45" s="165" t="str">
        <x:v>neighborhood_hub</x:v>
      </x:c>
      <x:c r="O45" s="167" t="n">
        <x:v>78</x:v>
      </x:c>
      <x:c r="P45" s="165" t="str">
        <x:v>community</x:v>
      </x:c>
      <x:c r="Q45" s="165" t="str">
        <x:v>source_verified</x:v>
      </x:c>
      <x:c r="R45" s="170" t="str">
        <x:v>https://austinparks.org/blog/basketball-courts-austin-texas/</x:v>
      </x:c>
      <x:c r="S45" s="165" t="str">
        <x:v>OpenStreetMap Nominatim</x:v>
      </x:c>
      <x:c r="T45" s="165" t="str">
        <x:v>none</x:v>
      </x:c>
      <x:c r="U45" s="168"/>
      <x:c r="V45" s="165"/>
      <x:c r="W45" s="165" t="str">
        <x:f>IF(B45="pickleball","READY · SOURCE",IF(OR(T45="strong",T45="nearby"),"READY · SOURCE + DETECTION","REVIEW · SATELLITE"))</x:f>
        <x:v>REVIEW · SATELLITE</x:v>
      </x:c>
      <x:c r="X45" s="165" t="str">
        <x:f>IF(W45="REVIEW · SATELLITE","Confirm exact playing surface in imagery before production lock","")</x:f>
        <x:v>Confirm exact playing surface in imagery before production lock</x:v>
      </x:c>
    </x:row>
    <x:row r="46" ht="28" customHeight="1">
      <x:c r="A46" s="165" t="str">
        <x:v>Austin</x:v>
      </x:c>
      <x:c r="B46" s="165" t="str">
        <x:v>pickleball</x:v>
      </x:c>
      <x:c r="C46" s="169" t="str">
        <x:v>Pan American Pickleball Courts</x:v>
      </x:c>
      <x:c r="D46" s="169" t="str">
        <x:v>Pan Am</x:v>
      </x:c>
      <x:c r="E46" s="169" t="str">
        <x:v>2100 E 3rd St</x:v>
      </x:c>
      <x:c r="F46" s="169" t="str">
        <x:v>Austin</x:v>
      </x:c>
      <x:c r="G46" s="165" t="str">
        <x:v>TX</x:v>
      </x:c>
      <x:c r="H46" s="165" t="str">
        <x:v>78702</x:v>
      </x:c>
      <x:c r="I46" s="166" t="n">
        <x:v>30.2581662</x:v>
      </x:c>
      <x:c r="J46" s="166" t="n">
        <x:v>-97.7207643</x:v>
      </x:c>
      <x:c r="K46" s="165" t="str">
        <x:v>public_free</x:v>
      </x:c>
      <x:c r="L46" s="165" t="str">
        <x:v>outdoor</x:v>
      </x:c>
      <x:c r="M46" s="167" t="n">
        <x:v>6</x:v>
      </x:c>
      <x:c r="N46" s="165" t="str">
        <x:v>open_play_anchor</x:v>
      </x:c>
      <x:c r="O46" s="167" t="n">
        <x:v>92</x:v>
      </x:c>
      <x:c r="P46" s="165" t="str">
        <x:v>official</x:v>
      </x:c>
      <x:c r="Q46" s="165" t="str">
        <x:v>source_verified</x:v>
      </x:c>
      <x:c r="R46" s="170" t="str">
        <x:v>https://www.austintexas.gov/parks/programs/pickleball</x:v>
      </x:c>
      <x:c r="S46" s="165" t="str">
        <x:v>OpenStreetMap Nominatim</x:v>
      </x:c>
      <x:c r="T46" s="165" t="str">
        <x:v>not_applicable</x:v>
      </x:c>
      <x:c r="U46" s="168"/>
      <x:c r="V46" s="165"/>
      <x:c r="W46" s="165" t="str">
        <x:f>IF(B46="pickleball","READY · SOURCE",IF(OR(T46="strong",T46="nearby"),"READY · SOURCE + DETECTION","REVIEW · SATELLITE"))</x:f>
        <x:v>READY · SOURCE</x:v>
      </x:c>
      <x:c r="X46" s="165" t="str">
        <x:f>IF(W46="REVIEW · SATELLITE","Confirm exact playing surface in imagery before production lock","")</x:f>
      </x:c>
    </x:row>
    <x:row r="47" ht="28" customHeight="1">
      <x:c r="A47" s="165" t="str">
        <x:v>Austin</x:v>
      </x:c>
      <x:c r="B47" s="165" t="str">
        <x:v>pickleball</x:v>
      </x:c>
      <x:c r="C47" s="169" t="str">
        <x:v>Austin Tennis &amp; Pickleball Center</x:v>
      </x:c>
      <x:c r="D47" s="169" t="str">
        <x:v>ATPC</x:v>
      </x:c>
      <x:c r="E47" s="169" t="str">
        <x:v>7800 Johnny Morris Rd</x:v>
      </x:c>
      <x:c r="F47" s="169" t="str">
        <x:v>Austin</x:v>
      </x:c>
      <x:c r="G47" s="165" t="str">
        <x:v>TX</x:v>
      </x:c>
      <x:c r="H47" s="165" t="str">
        <x:v>78724</x:v>
      </x:c>
      <x:c r="I47" s="166" t="n">
        <x:v>30.312221</x:v>
      </x:c>
      <x:c r="J47" s="166" t="n">
        <x:v>-97.638456</x:v>
      </x:c>
      <x:c r="K47" s="165" t="str">
        <x:v>public_paid</x:v>
      </x:c>
      <x:c r="L47" s="165" t="str">
        <x:v>outdoor</x:v>
      </x:c>
      <x:c r="M47" s="167" t="n">
        <x:v>8</x:v>
      </x:c>
      <x:c r="N47" s="165" t="str">
        <x:v>open_play_anchor</x:v>
      </x:c>
      <x:c r="O47" s="167" t="n">
        <x:v>92</x:v>
      </x:c>
      <x:c r="P47" s="165" t="str">
        <x:v>official</x:v>
      </x:c>
      <x:c r="Q47" s="165" t="str">
        <x:v>source_verified</x:v>
      </x:c>
      <x:c r="R47" s="170" t="str">
        <x:v>https://www.austintexas.gov/department/austin-tennis-center</x:v>
      </x:c>
      <x:c r="S47" s="165" t="str">
        <x:v>OpenStreetMap Nominatim</x:v>
      </x:c>
      <x:c r="T47" s="165" t="str">
        <x:v>not_applicable</x:v>
      </x:c>
      <x:c r="U47" s="168"/>
      <x:c r="V47" s="165"/>
      <x:c r="W47" s="165" t="str">
        <x:f>IF(B47="pickleball","READY · SOURCE",IF(OR(T47="strong",T47="nearby"),"READY · SOURCE + DETECTION","REVIEW · SATELLITE"))</x:f>
        <x:v>READY · SOURCE</x:v>
      </x:c>
      <x:c r="X47" s="165" t="str">
        <x:f>IF(W47="REVIEW · SATELLITE","Confirm exact playing surface in imagery before production lock","")</x:f>
      </x:c>
    </x:row>
    <x:row r="48" ht="28" customHeight="1">
      <x:c r="A48" s="165" t="str">
        <x:v>Austin</x:v>
      </x:c>
      <x:c r="B48" s="165" t="str">
        <x:v>pickleball</x:v>
      </x:c>
      <x:c r="C48" s="169" t="str">
        <x:v>Patterson Neighborhood Park</x:v>
      </x:c>
      <x:c r="D48" s="169" t="str">
        <x:v>Patterson Park</x:v>
      </x:c>
      <x:c r="E48" s="169" t="str">
        <x:v>4200 Brookview Rd</x:v>
      </x:c>
      <x:c r="F48" s="169" t="str">
        <x:v>Austin</x:v>
      </x:c>
      <x:c r="G48" s="165" t="str">
        <x:v>TX</x:v>
      </x:c>
      <x:c r="H48" s="165" t="str">
        <x:v>78722</x:v>
      </x:c>
      <x:c r="I48" s="166" t="n">
        <x:v>30.2966713</x:v>
      </x:c>
      <x:c r="J48" s="166" t="n">
        <x:v>-97.7102822</x:v>
      </x:c>
      <x:c r="K48" s="165" t="str">
        <x:v>public_free</x:v>
      </x:c>
      <x:c r="L48" s="165" t="str">
        <x:v>outdoor</x:v>
      </x:c>
      <x:c r="M48" s="167" t="n">
        <x:v>2</x:v>
      </x:c>
      <x:c r="N48" s="165" t="str">
        <x:v>neighborhood_hub</x:v>
      </x:c>
      <x:c r="O48" s="167" t="n">
        <x:v>78</x:v>
      </x:c>
      <x:c r="P48" s="165" t="str">
        <x:v>official</x:v>
      </x:c>
      <x:c r="Q48" s="165" t="str">
        <x:v>source_verified</x:v>
      </x:c>
      <x:c r="R48" s="170" t="str">
        <x:v>https://www.austintexas.gov/parks/programs/pickleball</x:v>
      </x:c>
      <x:c r="S48" s="165" t="str">
        <x:v>OpenStreetMap Nominatim</x:v>
      </x:c>
      <x:c r="T48" s="165" t="str">
        <x:v>not_applicable</x:v>
      </x:c>
      <x:c r="U48" s="168"/>
      <x:c r="V48" s="165"/>
      <x:c r="W48" s="165" t="str">
        <x:f>IF(B48="pickleball","READY · SOURCE",IF(OR(T48="strong",T48="nearby"),"READY · SOURCE + DETECTION","REVIEW · SATELLITE"))</x:f>
        <x:v>READY · SOURCE</x:v>
      </x:c>
      <x:c r="X48" s="165" t="str">
        <x:f>IF(W48="REVIEW · SATELLITE","Confirm exact playing surface in imagery before production lock","")</x:f>
      </x:c>
    </x:row>
    <x:row r="49" ht="28" customHeight="1">
      <x:c r="A49" s="165" t="str">
        <x:v>Austin</x:v>
      </x:c>
      <x:c r="B49" s="165" t="str">
        <x:v>pickleball</x:v>
      </x:c>
      <x:c r="C49" s="169" t="str">
        <x:v>Dittmar Recreation Center</x:v>
      </x:c>
      <x:c r="D49" s="169" t="str">
        <x:v>Dittmar</x:v>
      </x:c>
      <x:c r="E49" s="169" t="str">
        <x:v>1009 W Dittmar Rd</x:v>
      </x:c>
      <x:c r="F49" s="169" t="str">
        <x:v>Austin</x:v>
      </x:c>
      <x:c r="G49" s="165" t="str">
        <x:v>TX</x:v>
      </x:c>
      <x:c r="H49" s="165" t="str">
        <x:v>78745</x:v>
      </x:c>
      <x:c r="I49" s="166" t="n">
        <x:v>30.1858789</x:v>
      </x:c>
      <x:c r="J49" s="166" t="n">
        <x:v>-97.8007033</x:v>
      </x:c>
      <x:c r="K49" s="165" t="str">
        <x:v>public_free</x:v>
      </x:c>
      <x:c r="L49" s="165" t="str">
        <x:v>indoor</x:v>
      </x:c>
      <x:c r="M49" s="167" t="n">
        <x:v>4</x:v>
      </x:c>
      <x:c r="N49" s="165" t="str">
        <x:v>open_play_anchor</x:v>
      </x:c>
      <x:c r="O49" s="167" t="n">
        <x:v>92</x:v>
      </x:c>
      <x:c r="P49" s="165" t="str">
        <x:v>official</x:v>
      </x:c>
      <x:c r="Q49" s="165" t="str">
        <x:v>source_verified</x:v>
      </x:c>
      <x:c r="R49" s="170" t="str">
        <x:v>https://www.austintexas.gov/parks/programs/pickleball</x:v>
      </x:c>
      <x:c r="S49" s="165" t="str">
        <x:v>OpenStreetMap Nominatim</x:v>
      </x:c>
      <x:c r="T49" s="165" t="str">
        <x:v>not_applicable</x:v>
      </x:c>
      <x:c r="U49" s="168"/>
      <x:c r="V49" s="165"/>
      <x:c r="W49" s="165" t="str">
        <x:f>IF(B49="pickleball","READY · SOURCE",IF(OR(T49="strong",T49="nearby"),"READY · SOURCE + DETECTION","REVIEW · SATELLITE"))</x:f>
        <x:v>READY · SOURCE</x:v>
      </x:c>
      <x:c r="X49" s="165" t="str">
        <x:f>IF(W49="REVIEW · SATELLITE","Confirm exact playing surface in imagery before production lock","")</x:f>
      </x:c>
    </x:row>
    <x:row r="50" ht="28" customHeight="1">
      <x:c r="A50" s="165" t="str">
        <x:v>Denver</x:v>
      </x:c>
      <x:c r="B50" s="165" t="str">
        <x:v>basketball</x:v>
      </x:c>
      <x:c r="C50" s="169" t="str">
        <x:v>Mestizo-Curtis Park</x:v>
      </x:c>
      <x:c r="D50" s="169" t="str">
        <x:v>Mestizo-Curtis</x:v>
      </x:c>
      <x:c r="E50" s="169" t="str">
        <x:v>3100 Champa St</x:v>
      </x:c>
      <x:c r="F50" s="169" t="str">
        <x:v>Denver</x:v>
      </x:c>
      <x:c r="G50" s="165" t="str">
        <x:v>CO</x:v>
      </x:c>
      <x:c r="H50" s="165" t="str">
        <x:v>80205</x:v>
      </x:c>
      <x:c r="I50" s="166" t="n">
        <x:v>39.760575</x:v>
      </x:c>
      <x:c r="J50" s="166" t="n">
        <x:v>-104.975633</x:v>
      </x:c>
      <x:c r="K50" s="165" t="str">
        <x:v>public_free</x:v>
      </x:c>
      <x:c r="L50" s="165" t="str">
        <x:v>outdoor</x:v>
      </x:c>
      <x:c r="M50" s="167"/>
      <x:c r="N50" s="165" t="str">
        <x:v>community_hub</x:v>
      </x:c>
      <x:c r="O50" s="167" t="n">
        <x:v>82</x:v>
      </x:c>
      <x:c r="P50" s="165" t="str">
        <x:v>official</x:v>
      </x:c>
      <x:c r="Q50" s="165" t="str">
        <x:v>source_verified</x:v>
      </x:c>
      <x:c r="R50" s="170" t="str">
        <x:v>https://www.denvergov.org/Government/Agencies-Departments-Offices/Agencies-Departments-Offices-Directory/Parks-Recreation/Parks/Urban-Parks/Mestizo-Curtis-Park</x:v>
      </x:c>
      <x:c r="S50" s="165" t="str">
        <x:v>OpenStreetMap Nominatim</x:v>
      </x:c>
      <x:c r="T50" s="165" t="str">
        <x:v>nearby</x:v>
      </x:c>
      <x:c r="U50" s="168" t="n">
        <x:v>210.8</x:v>
      </x:c>
      <x:c r="V50" s="165" t="str">
        <x:v>25680128</x:v>
      </x:c>
      <x:c r="W50" s="165" t="str">
        <x:f>IF(B50="pickleball","READY · SOURCE",IF(OR(T50="strong",T50="nearby"),"READY · SOURCE + DETECTION","REVIEW · SATELLITE"))</x:f>
        <x:v>READY · SOURCE + DETECTION</x:v>
      </x:c>
      <x:c r="X50" s="165" t="str">
        <x:f>IF(W50="REVIEW · SATELLITE","Confirm exact playing surface in imagery before production lock","")</x:f>
      </x:c>
    </x:row>
    <x:row r="51" ht="28" customHeight="1">
      <x:c r="A51" s="165" t="str">
        <x:v>Denver</x:v>
      </x:c>
      <x:c r="B51" s="165" t="str">
        <x:v>basketball</x:v>
      </x:c>
      <x:c r="C51" s="169" t="str">
        <x:v>La Alma-Lincoln Park</x:v>
      </x:c>
      <x:c r="D51" s="169" t="str">
        <x:v>La Alma-Lincoln</x:v>
      </x:c>
      <x:c r="E51" s="169" t="str">
        <x:v>1325 W 11th Ave</x:v>
      </x:c>
      <x:c r="F51" s="169" t="str">
        <x:v>Denver</x:v>
      </x:c>
      <x:c r="G51" s="165" t="str">
        <x:v>CO</x:v>
      </x:c>
      <x:c r="H51" s="165" t="str">
        <x:v>80204</x:v>
      </x:c>
      <x:c r="I51" s="166" t="n">
        <x:v>39.734759</x:v>
      </x:c>
      <x:c r="J51" s="166" t="n">
        <x:v>-105.0044547</x:v>
      </x:c>
      <x:c r="K51" s="165" t="str">
        <x:v>public_free</x:v>
      </x:c>
      <x:c r="L51" s="165" t="str">
        <x:v>outdoor</x:v>
      </x:c>
      <x:c r="M51" s="167"/>
      <x:c r="N51" s="165" t="str">
        <x:v>community_hub</x:v>
      </x:c>
      <x:c r="O51" s="167" t="n">
        <x:v>82</x:v>
      </x:c>
      <x:c r="P51" s="165" t="str">
        <x:v>official</x:v>
      </x:c>
      <x:c r="Q51" s="165" t="str">
        <x:v>source_verified</x:v>
      </x:c>
      <x:c r="R51" s="170" t="str">
        <x:v>https://www.denvergov.org/Government/Agencies-Departments-Offices/Agencies-Departments-Offices-Directory/Parks-Recreation/Parks/Urban-Parks/La-Alma-Lincoln-Park</x:v>
      </x:c>
      <x:c r="S51" s="165" t="str">
        <x:v>OpenStreetMap Nominatim</x:v>
      </x:c>
      <x:c r="T51" s="165" t="str">
        <x:v>strong</x:v>
      </x:c>
      <x:c r="U51" s="168" t="n">
        <x:v>26.8</x:v>
      </x:c>
      <x:c r="V51" s="165" t="str">
        <x:v>114290702</x:v>
      </x:c>
      <x:c r="W51" s="165" t="str">
        <x:f>IF(B51="pickleball","READY · SOURCE",IF(OR(T51="strong",T51="nearby"),"READY · SOURCE + DETECTION","REVIEW · SATELLITE"))</x:f>
        <x:v>READY · SOURCE + DETECTION</x:v>
      </x:c>
      <x:c r="X51" s="165" t="str">
        <x:f>IF(W51="REVIEW · SATELLITE","Confirm exact playing surface in imagery before production lock","")</x:f>
      </x:c>
    </x:row>
    <x:row r="52" ht="28" customHeight="1">
      <x:c r="A52" s="165" t="str">
        <x:v>Denver</x:v>
      </x:c>
      <x:c r="B52" s="165" t="str">
        <x:v>basketball</x:v>
      </x:c>
      <x:c r="C52" s="169" t="str">
        <x:v>City Park Basketball Courts</x:v>
      </x:c>
      <x:c r="D52" s="169" t="str">
        <x:v>City Park</x:v>
      </x:c>
      <x:c r="E52" s="169" t="str">
        <x:v>1700 N York St</x:v>
      </x:c>
      <x:c r="F52" s="169" t="str">
        <x:v>Denver</x:v>
      </x:c>
      <x:c r="G52" s="165" t="str">
        <x:v>CO</x:v>
      </x:c>
      <x:c r="H52" s="165" t="str">
        <x:v>80206</x:v>
      </x:c>
      <x:c r="I52" s="166" t="n">
        <x:v>39.743383</x:v>
      </x:c>
      <x:c r="J52" s="166" t="n">
        <x:v>-104.959677</x:v>
      </x:c>
      <x:c r="K52" s="165" t="str">
        <x:v>public_free</x:v>
      </x:c>
      <x:c r="L52" s="165" t="str">
        <x:v>outdoor</x:v>
      </x:c>
      <x:c r="M52" s="167"/>
      <x:c r="N52" s="165" t="str">
        <x:v>city_anchor</x:v>
      </x:c>
      <x:c r="O52" s="167" t="n">
        <x:v>76</x:v>
      </x:c>
      <x:c r="P52" s="165" t="str">
        <x:v>official</x:v>
      </x:c>
      <x:c r="Q52" s="165" t="str">
        <x:v>source_verified</x:v>
      </x:c>
      <x:c r="R52" s="170" t="str">
        <x:v>https://www.denvergov.org/Government/Agencies-Departments-Offices/Agencies-Departments-Offices-Directory/Parks-Recreation/Parks/Urban-Parks/City-Park</x:v>
      </x:c>
      <x:c r="S52" s="165" t="str">
        <x:v>OpenStreetMap Nominatim</x:v>
      </x:c>
      <x:c r="T52" s="165" t="str">
        <x:v>review</x:v>
      </x:c>
      <x:c r="U52" s="168" t="n">
        <x:v>499.1</x:v>
      </x:c>
      <x:c r="V52" s="165" t="str">
        <x:v>323175182</x:v>
      </x:c>
      <x:c r="W52" s="165" t="str">
        <x:f>IF(B52="pickleball","READY · SOURCE",IF(OR(T52="strong",T52="nearby"),"READY · SOURCE + DETECTION","REVIEW · SATELLITE"))</x:f>
        <x:v>REVIEW · SATELLITE</x:v>
      </x:c>
      <x:c r="X52" s="165" t="str">
        <x:f>IF(W52="REVIEW · SATELLITE","Confirm exact playing surface in imagery before production lock","")</x:f>
        <x:v>Confirm exact playing surface in imagery before production lock</x:v>
      </x:c>
    </x:row>
    <x:row r="53" ht="28" customHeight="1">
      <x:c r="A53" s="165" t="str">
        <x:v>Denver</x:v>
      </x:c>
      <x:c r="B53" s="165" t="str">
        <x:v>basketball</x:v>
      </x:c>
      <x:c r="C53" s="169" t="str">
        <x:v>Washington Park Basketball Courts</x:v>
      </x:c>
      <x:c r="D53" s="169" t="str">
        <x:v>Washington Park</x:v>
      </x:c>
      <x:c r="E53" s="169" t="str">
        <x:v>701 S Franklin St</x:v>
      </x:c>
      <x:c r="F53" s="169" t="str">
        <x:v>Denver</x:v>
      </x:c>
      <x:c r="G53" s="165" t="str">
        <x:v>CO</x:v>
      </x:c>
      <x:c r="H53" s="165" t="str">
        <x:v>80209</x:v>
      </x:c>
      <x:c r="I53" s="166" t="n">
        <x:v>39.7026223</x:v>
      </x:c>
      <x:c r="J53" s="166" t="n">
        <x:v>-104.9705739</x:v>
      </x:c>
      <x:c r="K53" s="165" t="str">
        <x:v>public_free</x:v>
      </x:c>
      <x:c r="L53" s="165" t="str">
        <x:v>mixed</x:v>
      </x:c>
      <x:c r="M53" s="167"/>
      <x:c r="N53" s="165" t="str">
        <x:v>city_anchor</x:v>
      </x:c>
      <x:c r="O53" s="167" t="n">
        <x:v>76</x:v>
      </x:c>
      <x:c r="P53" s="165" t="str">
        <x:v>official</x:v>
      </x:c>
      <x:c r="Q53" s="165" t="str">
        <x:v>source_verified</x:v>
      </x:c>
      <x:c r="R53" s="170" t="str">
        <x:v>https://www.denvergov.org/Government/Agencies-Departments-Offices/Agencies-Departments-Offices-Directory/Parks-Recreation/Parks/Urban-Parks/Washington-Park</x:v>
      </x:c>
      <x:c r="S53" s="165" t="str">
        <x:v>OpenStreetMap Nominatim</x:v>
      </x:c>
      <x:c r="T53" s="165" t="str">
        <x:v>review</x:v>
      </x:c>
      <x:c r="U53" s="168" t="n">
        <x:v>221.6</x:v>
      </x:c>
      <x:c r="V53" s="165" t="str">
        <x:v>1137052158</x:v>
      </x:c>
      <x:c r="W53" s="165" t="str">
        <x:f>IF(B53="pickleball","READY · SOURCE",IF(OR(T53="strong",T53="nearby"),"READY · SOURCE + DETECTION","REVIEW · SATELLITE"))</x:f>
        <x:v>REVIEW · SATELLITE</x:v>
      </x:c>
      <x:c r="X53" s="165" t="str">
        <x:f>IF(W53="REVIEW · SATELLITE","Confirm exact playing surface in imagery before production lock","")</x:f>
        <x:v>Confirm exact playing surface in imagery before production lock</x:v>
      </x:c>
    </x:row>
    <x:row r="54" ht="28" customHeight="1">
      <x:c r="A54" s="165" t="str">
        <x:v>Denver</x:v>
      </x:c>
      <x:c r="B54" s="165" t="str">
        <x:v>pickleball</x:v>
      </x:c>
      <x:c r="C54" s="169" t="str">
        <x:v>Gates Tennis Center</x:v>
      </x:c>
      <x:c r="D54" s="169" t="str">
        <x:v>Gates</x:v>
      </x:c>
      <x:c r="E54" s="169" t="str">
        <x:v>3300 E Bayaud Ave</x:v>
      </x:c>
      <x:c r="F54" s="169" t="str">
        <x:v>Denver</x:v>
      </x:c>
      <x:c r="G54" s="165" t="str">
        <x:v>CO</x:v>
      </x:c>
      <x:c r="H54" s="165" t="str">
        <x:v>80209</x:v>
      </x:c>
      <x:c r="I54" s="166" t="n">
        <x:v>39.7139193</x:v>
      </x:c>
      <x:c r="J54" s="166" t="n">
        <x:v>-104.9483282</x:v>
      </x:c>
      <x:c r="K54" s="165" t="str">
        <x:v>public_paid</x:v>
      </x:c>
      <x:c r="L54" s="165" t="str">
        <x:v>outdoor</x:v>
      </x:c>
      <x:c r="M54" s="167" t="n">
        <x:v>14</x:v>
      </x:c>
      <x:c r="N54" s="165" t="str">
        <x:v>open_play_anchor</x:v>
      </x:c>
      <x:c r="O54" s="167" t="n">
        <x:v>92</x:v>
      </x:c>
      <x:c r="P54" s="165" t="str">
        <x:v>venue</x:v>
      </x:c>
      <x:c r="Q54" s="165" t="str">
        <x:v>source_verified</x:v>
      </x:c>
      <x:c r="R54" s="170" t="str">
        <x:v>https://www.gatestenniscenter.info/</x:v>
      </x:c>
      <x:c r="S54" s="165" t="str">
        <x:v>OpenStreetMap Nominatim</x:v>
      </x:c>
      <x:c r="T54" s="165" t="str">
        <x:v>not_applicable</x:v>
      </x:c>
      <x:c r="U54" s="168"/>
      <x:c r="V54" s="165"/>
      <x:c r="W54" s="165" t="str">
        <x:f>IF(B54="pickleball","READY · SOURCE",IF(OR(T54="strong",T54="nearby"),"READY · SOURCE + DETECTION","REVIEW · SATELLITE"))</x:f>
        <x:v>READY · SOURCE</x:v>
      </x:c>
      <x:c r="X54" s="165" t="str">
        <x:f>IF(W54="REVIEW · SATELLITE","Confirm exact playing surface in imagery before production lock","")</x:f>
      </x:c>
    </x:row>
    <x:row r="55" ht="28" customHeight="1">
      <x:c r="A55" s="165" t="str">
        <x:v>Denver</x:v>
      </x:c>
      <x:c r="B55" s="165" t="str">
        <x:v>pickleball</x:v>
      </x:c>
      <x:c r="C55" s="169" t="str">
        <x:v>Martin Luther King Jr. Park Courts</x:v>
      </x:c>
      <x:c r="D55" s="169" t="str">
        <x:v>MLK Park</x:v>
      </x:c>
      <x:c r="E55" s="169" t="str">
        <x:v>3880 Newport St</x:v>
      </x:c>
      <x:c r="F55" s="169" t="str">
        <x:v>Denver</x:v>
      </x:c>
      <x:c r="G55" s="165" t="str">
        <x:v>CO</x:v>
      </x:c>
      <x:c r="H55" s="165" t="str">
        <x:v>80207</x:v>
      </x:c>
      <x:c r="I55" s="166" t="n">
        <x:v>39.7707141</x:v>
      </x:c>
      <x:c r="J55" s="166" t="n">
        <x:v>-104.9092894</x:v>
      </x:c>
      <x:c r="K55" s="165" t="str">
        <x:v>public_free</x:v>
      </x:c>
      <x:c r="L55" s="165" t="str">
        <x:v>outdoor</x:v>
      </x:c>
      <x:c r="M55" s="167" t="n">
        <x:v>10</x:v>
      </x:c>
      <x:c r="N55" s="165" t="str">
        <x:v>open_play_anchor</x:v>
      </x:c>
      <x:c r="O55" s="167" t="n">
        <x:v>92</x:v>
      </x:c>
      <x:c r="P55" s="165" t="str">
        <x:v>community</x:v>
      </x:c>
      <x:c r="Q55" s="165" t="str">
        <x:v>source_verified</x:v>
      </x:c>
      <x:c r="R55" s="170" t="str">
        <x:v>https://dnvrpickleball.com/denver/courts</x:v>
      </x:c>
      <x:c r="S55" s="165" t="str">
        <x:v>OpenStreetMap Nominatim</x:v>
      </x:c>
      <x:c r="T55" s="165" t="str">
        <x:v>not_applicable</x:v>
      </x:c>
      <x:c r="U55" s="168"/>
      <x:c r="V55" s="165"/>
      <x:c r="W55" s="165" t="str">
        <x:f>IF(B55="pickleball","READY · SOURCE",IF(OR(T55="strong",T55="nearby"),"READY · SOURCE + DETECTION","REVIEW · SATELLITE"))</x:f>
        <x:v>READY · SOURCE</x:v>
      </x:c>
      <x:c r="X55" s="165" t="str">
        <x:f>IF(W55="REVIEW · SATELLITE","Confirm exact playing surface in imagery before production lock","")</x:f>
      </x:c>
    </x:row>
    <x:row r="56" ht="28" customHeight="1">
      <x:c r="A56" s="165" t="str">
        <x:v>Denver</x:v>
      </x:c>
      <x:c r="B56" s="165" t="str">
        <x:v>pickleball</x:v>
      </x:c>
      <x:c r="C56" s="169" t="str">
        <x:v>Mamie D. Eisenhower Park Courts</x:v>
      </x:c>
      <x:c r="D56" s="169" t="str">
        <x:v>Eisenhower Park</x:v>
      </x:c>
      <x:c r="E56" s="169" t="str">
        <x:v>4300 E Dartmouth Ave</x:v>
      </x:c>
      <x:c r="F56" s="169" t="str">
        <x:v>Denver</x:v>
      </x:c>
      <x:c r="G56" s="165" t="str">
        <x:v>CO</x:v>
      </x:c>
      <x:c r="H56" s="165" t="str">
        <x:v>80222</x:v>
      </x:c>
      <x:c r="I56" s="166" t="n">
        <x:v>39.6596571</x:v>
      </x:c>
      <x:c r="J56" s="166" t="n">
        <x:v>-104.937437</x:v>
      </x:c>
      <x:c r="K56" s="165" t="str">
        <x:v>public_free</x:v>
      </x:c>
      <x:c r="L56" s="165" t="str">
        <x:v>mixed</x:v>
      </x:c>
      <x:c r="M56" s="167" t="n">
        <x:v>7</x:v>
      </x:c>
      <x:c r="N56" s="165" t="str">
        <x:v>community_hub</x:v>
      </x:c>
      <x:c r="O56" s="167" t="n">
        <x:v>82</x:v>
      </x:c>
      <x:c r="P56" s="165" t="str">
        <x:v>community</x:v>
      </x:c>
      <x:c r="Q56" s="165" t="str">
        <x:v>source_verified</x:v>
      </x:c>
      <x:c r="R56" s="170" t="str">
        <x:v>https://dnvrpickleball.com/denver/courts</x:v>
      </x:c>
      <x:c r="S56" s="165" t="str">
        <x:v>OpenStreetMap Nominatim</x:v>
      </x:c>
      <x:c r="T56" s="165" t="str">
        <x:v>not_applicable</x:v>
      </x:c>
      <x:c r="U56" s="168"/>
      <x:c r="V56" s="165"/>
      <x:c r="W56" s="165" t="str">
        <x:f>IF(B56="pickleball","READY · SOURCE",IF(OR(T56="strong",T56="nearby"),"READY · SOURCE + DETECTION","REVIEW · SATELLITE"))</x:f>
        <x:v>READY · SOURCE</x:v>
      </x:c>
      <x:c r="X56" s="165" t="str">
        <x:f>IF(W56="REVIEW · SATELLITE","Confirm exact playing surface in imagery before production lock","")</x:f>
      </x:c>
    </x:row>
    <x:row r="57" ht="28" customHeight="1">
      <x:c r="A57" s="165" t="str">
        <x:v>Denver</x:v>
      </x:c>
      <x:c r="B57" s="165" t="str">
        <x:v>pickleball</x:v>
      </x:c>
      <x:c r="C57" s="169" t="str">
        <x:v>Huston Lake Park Courts</x:v>
      </x:c>
      <x:c r="D57" s="169" t="str">
        <x:v>Huston Lake</x:v>
      </x:c>
      <x:c r="E57" s="169" t="str">
        <x:v>910 S Bryant St</x:v>
      </x:c>
      <x:c r="F57" s="169" t="str">
        <x:v>Denver</x:v>
      </x:c>
      <x:c r="G57" s="165" t="str">
        <x:v>CO</x:v>
      </x:c>
      <x:c r="H57" s="165" t="str">
        <x:v>80219</x:v>
      </x:c>
      <x:c r="I57" s="166" t="n">
        <x:v>39.700157</x:v>
      </x:c>
      <x:c r="J57" s="166" t="n">
        <x:v>-105.0179623</x:v>
      </x:c>
      <x:c r="K57" s="165" t="str">
        <x:v>public_free</x:v>
      </x:c>
      <x:c r="L57" s="165" t="str">
        <x:v>outdoor</x:v>
      </x:c>
      <x:c r="M57" s="167" t="n">
        <x:v>4</x:v>
      </x:c>
      <x:c r="N57" s="165" t="str">
        <x:v>open_play_anchor</x:v>
      </x:c>
      <x:c r="O57" s="167" t="n">
        <x:v>92</x:v>
      </x:c>
      <x:c r="P57" s="165" t="str">
        <x:v>community</x:v>
      </x:c>
      <x:c r="Q57" s="165" t="str">
        <x:v>source_verified</x:v>
      </x:c>
      <x:c r="R57" s="170" t="str">
        <x:v>https://dnvrpickleball.com/denver/courts</x:v>
      </x:c>
      <x:c r="S57" s="165" t="str">
        <x:v>OpenStreetMap Nominatim</x:v>
      </x:c>
      <x:c r="T57" s="165" t="str">
        <x:v>not_applicable</x:v>
      </x:c>
      <x:c r="U57" s="168"/>
      <x:c r="V57" s="165"/>
      <x:c r="W57" s="165" t="str">
        <x:f>IF(B57="pickleball","READY · SOURCE",IF(OR(T57="strong",T57="nearby"),"READY · SOURCE + DETECTION","REVIEW · SATELLITE"))</x:f>
        <x:v>READY · SOURCE</x:v>
      </x:c>
      <x:c r="X57" s="165" t="str">
        <x:f>IF(W57="REVIEW · SATELLITE","Confirm exact playing surface in imagery before production lock","")</x:f>
      </x:c>
    </x:row>
  </x:sheetData>
  <x:conditionalFormatting sqref="B2:B57">
    <x:cfRule type="containsText" dxfId="0" priority="1" operator="containsText" text="basketball"/>
    <x:cfRule type="containsText" dxfId="1" priority="2" operator="containsText" text="pickleball"/>
  </x:conditionalFormatting>
  <x:conditionalFormatting sqref="W2:W57">
    <x:cfRule type="beginsWith" dxfId="2" priority="3" operator="beginsWith" text="READY"/>
    <x:cfRule type="beginsWith" dxfId="3" priority="4" operator="beginsWith" text="REVIEW"/>
  </x:conditionalFormatting>
  <x:pageMargins left="0.7" right="0.7" top="0.75" bottom="0.75" header="0.3" footer="0.3"/>
  <x:tableParts count="1">
    <x:tablePart xmlns:r="http://schemas.openxmlformats.org/officeDocument/2006/relationships" r:id="R81c0723355d947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31" hidden="0" customWidth="1"/>
    <x:col min="5" max="5" width="25" hidden="0" customWidth="1"/>
    <x:col min="6" max="6" width="42" hidden="0" customWidth="1"/>
  </x:cols>
  <x:sheetData>
    <x:row r="1">
      <x:c r="A1" s="3" t="str">
        <x:v>COURT NAMING STANDARD</x:v>
      </x:c>
      <x:c r="B1" s="3"/>
      <x:c r="C1" s="3"/>
      <x:c r="D1" s="3"/>
      <x:c r="E1" s="3"/>
      <x:c r="F1" s="3"/>
    </x:row>
    <x:row r="2">
      <x:c r="A2" s="5" t="str">
        <x:v>Readable identity for cards, markers, search, URLs, and future bulk imports</x:v>
      </x:c>
      <x:c r="B2" s="5"/>
      <x:c r="C2" s="5"/>
      <x:c r="D2" s="5"/>
      <x:c r="E2" s="5"/>
      <x:c r="F2" s="5"/>
    </x:row>
    <x:row r="4">
      <x:c r="A4" s="171" t="str">
        <x:v>Rank</x:v>
      </x:c>
      <x:c r="B4" s="171" t="str">
        <x:v>Use When</x:v>
      </x:c>
      <x:c r="C4" s="171" t="str">
        <x:v>Pattern</x:v>
      </x:c>
      <x:c r="D4" s="171" t="str">
        <x:v>Good Example</x:v>
      </x:c>
      <x:c r="E4" s="171" t="str">
        <x:v>Avoid</x:v>
      </x:c>
      <x:c r="F4" s="171" t="str">
        <x:v>Implementation Note</x:v>
      </x:c>
    </x:row>
    <x:row r="5" ht="42" customHeight="1">
      <x:c r="A5" s="184" t="n">
        <x:v>1</x:v>
      </x:c>
      <x:c r="B5" s="175" t="str">
        <x:v>An official or venue-owned name exists</x:v>
      </x:c>
      <x:c r="C5" s="175" t="str">
        <x:v>Use the canonical venue name</x:v>
      </x:c>
      <x:c r="D5" s="175" t="str">
        <x:v>Holcombe Rucker Park</x:v>
      </x:c>
      <x:c r="E5" s="175" t="str">
        <x:v>Basketball Court 1038</x:v>
      </x:c>
      <x:c r="F5" s="175" t="str">
        <x:v>Store the full name in name and the compact form in short_name.</x:v>
      </x:c>
    </x:row>
    <x:row r="6" ht="42" customHeight="1">
      <x:c r="A6" s="185" t="n">
        <x:v>2</x:v>
      </x:c>
      <x:c r="B6" s="176" t="str">
        <x:v>The court has a durable community nickname</x:v>
      </x:c>
      <x:c r="C6" s="176" t="str">
        <x:v>Use the recognized nickname as short_name</x:v>
      </x:c>
      <x:c r="D6" s="176" t="str">
        <x:v>West 4th Street Courts / The Cage</x:v>
      </x:c>
      <x:c r="E6" s="176" t="str">
        <x:v>W 4th Court #1</x:v>
      </x:c>
      <x:c r="F6" s="176" t="str">
        <x:v>Keep the official name searchable; show the nickname on compact cards.</x:v>
      </x:c>
    </x:row>
    <x:row r="7" ht="42" customHeight="1">
      <x:c r="A7" s="185" t="n">
        <x:v>3</x:v>
      </x:c>
      <x:c r="B7" s="176" t="str">
        <x:v>The court sits inside a named facility</x:v>
      </x:c>
      <x:c r="C7" s="176" t="str">
        <x:v>Use the parent facility</x:v>
      </x:c>
      <x:c r="D7" s="176" t="str">
        <x:v>Fonde Recreation Center</x:v>
      </x:c>
      <x:c r="E7" s="176" t="str">
        <x:v>Sabine Street Court</x:v>
      </x:c>
      <x:c r="F7" s="176" t="str">
        <x:v>Sport belongs in metadata unless needed to distinguish two sports at one venue.</x:v>
      </x:c>
    </x:row>
    <x:row r="8" ht="42" customHeight="1">
      <x:c r="A8" s="185" t="n">
        <x:v>4</x:v>
      </x:c>
      <x:c r="B8" s="176" t="str">
        <x:v>No named place survives verification</x:v>
      </x:c>
      <x:c r="C8" s="176" t="str">
        <x:v>{Short street} Courts</x:v>
      </x:c>
      <x:c r="D8" s="176" t="str">
        <x:v>Tillery Courts</x:v>
      </x:c>
      <x:c r="E8" s="176" t="str">
        <x:v>Court 18432</x:v>
      </x:c>
      <x:c r="F8" s="176" t="str">
        <x:v>Reverse-geocode first; remove road suffix only when the result remains clear.</x:v>
      </x:c>
    </x:row>
    <x:row r="9" ht="42" customHeight="1">
      <x:c r="A9" s="186" t="n">
        <x:v>5</x:v>
      </x:c>
      <x:c r="B9" s="177" t="str">
        <x:v>Two unnamed venues collide locally</x:v>
      </x:c>
      <x:c r="C9" s="177" t="str">
        <x:v>{Short street} Courts · {Neighborhood}</x:v>
      </x:c>
      <x:c r="D9" s="177" t="str">
        <x:v>Tillery Courts · East Austin</x:v>
      </x:c>
      <x:c r="E9" s="177" t="str">
        <x:v>Tillery Courts 2</x:v>
      </x:c>
      <x:c r="F9" s="177" t="str">
        <x:v>Numbers are the final collision resolver, never the identity.</x:v>
      </x:c>
    </x:row>
    <x:row r="10" ht="42" customHeight="1"/>
    <x:row r="11" ht="42" customHeight="1">
      <x:c r="A11" s="47" t="str">
        <x:v>FIELD CONTRACT</x:v>
      </x:c>
      <x:c r="B11" s="47"/>
      <x:c r="C11" s="47"/>
      <x:c r="D11" s="47"/>
      <x:c r="E11" s="47"/>
      <x:c r="F11" s="47"/>
    </x:row>
    <x:row r="12" ht="42" customHeight="1">
      <x:c r="A12" s="49" t="str">
        <x:v>Field</x:v>
      </x:c>
      <x:c r="B12" s="49" t="str">
        <x:v>Required</x:v>
      </x:c>
      <x:c r="C12" s="49" t="str">
        <x:v>Purpose</x:v>
      </x:c>
      <x:c r="D12" s="49" t="str">
        <x:v>Example</x:v>
      </x:c>
      <x:c r="E12" s="49" t="str">
        <x:v>Rule</x:v>
      </x:c>
      <x:c r="F12" s="49" t="str">
        <x:v>Notes</x:v>
      </x:c>
    </x:row>
    <x:row r="13" ht="42" customHeight="1">
      <x:c r="A13" s="172" t="str">
        <x:v>name</x:v>
      </x:c>
      <x:c r="B13" s="193" t="b">
        <x:v>1</x:v>
      </x:c>
      <x:c r="C13" s="172" t="str">
        <x:v>Canonical display/search name</x:v>
      </x:c>
      <x:c r="D13" s="172" t="str">
        <x:v>Holcombe Rucker Park</x:v>
      </x:c>
      <x:c r="E13" s="172" t="str">
        <x:v>1–120 characters</x:v>
      </x:c>
      <x:c r="F13" s="172" t="str">
        <x:v>Never generated from a numeric source ID</x:v>
      </x:c>
    </x:row>
    <x:row r="14" ht="42" customHeight="1">
      <x:c r="A14" s="173" t="str">
        <x:v>short_name</x:v>
      </x:c>
      <x:c r="B14" s="194" t="b">
        <x:v>1</x:v>
      </x:c>
      <x:c r="C14" s="173" t="str">
        <x:v>Compact card/marker name</x:v>
      </x:c>
      <x:c r="D14" s="173" t="str">
        <x:v>Rucker Park</x:v>
      </x:c>
      <x:c r="E14" s="173" t="str">
        <x:v>Prefer ≤ 32 characters</x:v>
      </x:c>
      <x:c r="F14" s="173" t="str">
        <x:v>May be a recognized nickname</x:v>
      </x:c>
    </x:row>
    <x:row r="15" ht="42" customHeight="1">
      <x:c r="A15" s="173" t="str">
        <x:v>slug</x:v>
      </x:c>
      <x:c r="B15" s="194" t="b">
        <x:v>1</x:v>
      </x:c>
      <x:c r="C15" s="173" t="str">
        <x:v>Stable URL/upsert key</x:v>
      </x:c>
      <x:c r="D15" s="173" t="str">
        <x:v>new-york-city-basketball-rucker-park</x:v>
      </x:c>
      <x:c r="E15" s="173" t="str">
        <x:v>market + sport + short name</x:v>
      </x:c>
      <x:c r="F15" s="173" t="str">
        <x:v>Do not change when marketing copy changes</x:v>
      </x:c>
    </x:row>
    <x:row r="16" ht="42" customHeight="1">
      <x:c r="A16" s="174" t="str">
        <x:v>raw_source_name</x:v>
      </x:c>
      <x:c r="B16" s="195" t="b">
        <x:v>0</x:v>
      </x:c>
      <x:c r="C16" s="174" t="str">
        <x:v>Provenance for imported labels</x:v>
      </x:c>
      <x:c r="D16" s="174" t="str">
        <x:v>Court 22148967</x:v>
      </x:c>
      <x:c r="E16" s="174" t="str">
        <x:v>Never shown to users</x:v>
      </x:c>
      <x:c r="F16" s="174" t="str">
        <x:v>Preserves reversibility</x:v>
      </x:c>
    </x:row>
  </x:sheetData>
  <x:mergeCells>
    <x:mergeCell ref="A1:F1"/>
    <x:mergeCell ref="A2:F2"/>
    <x:mergeCell ref="A11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40" hidden="0" customWidth="1"/>
  </x:cols>
  <x:sheetData>
    <x:row r="1">
      <x:c r="A1" s="3" t="str">
        <x:v>SOURCE &amp; METHOD NOTES</x:v>
      </x:c>
      <x:c r="B1" s="3"/>
      <x:c r="C1" s="3"/>
      <x:c r="D1" s="3"/>
    </x:row>
    <x:row r="2">
      <x:c r="A2" s="5" t="str">
        <x:v>What is known, what is inferred, and what remains for human review</x:v>
      </x:c>
      <x:c r="B2" s="5"/>
      <x:c r="C2" s="5"/>
      <x:c r="D2" s="5"/>
    </x:row>
    <x:row r="4">
      <x:c r="A4" s="49" t="str">
        <x:v>Layer</x:v>
      </x:c>
      <x:c r="B4" s="49" t="str">
        <x:v>Method</x:v>
      </x:c>
      <x:c r="C4" s="49" t="str">
        <x:v>What It Proves</x:v>
      </x:c>
      <x:c r="D4" s="49" t="str">
        <x:v>Limit</x:v>
      </x:c>
    </x:row>
    <x:row r="5" ht="42" customHeight="1">
      <x:c r="A5" s="175" t="str">
        <x:v>Venue discovery</x:v>
      </x:c>
      <x:c r="B5" s="175" t="str">
        <x:v>Firecrawl, Exa, Parallel Search, Tavily</x:v>
      </x:c>
      <x:c r="C5" s="175" t="str">
        <x:v>A court/venue is notable, active, official, or open-play oriented</x:v>
      </x:c>
      <x:c r="D5" s="175" t="str">
        <x:v>Search visibility is not a live traffic counter</x:v>
      </x:c>
    </x:row>
    <x:row r="6" ht="42" customHeight="1">
      <x:c r="A6" s="176" t="str">
        <x:v>Primary verification</x:v>
      </x:c>
      <x:c r="B6" s="176" t="str">
        <x:v>Municipal parks pages or venue-owned pages</x:v>
      </x:c>
      <x:c r="C6" s="176" t="str">
        <x:v>Name, address, access model, and supported court details</x:v>
      </x:c>
      <x:c r="D6" s="176" t="str">
        <x:v>Pages can change after this seed date</x:v>
      </x:c>
    </x:row>
    <x:row r="7" ht="42" customHeight="1">
      <x:c r="A7" s="176" t="str">
        <x:v>Coordinates</x:v>
      </x:c>
      <x:c r="B7" s="176" t="str">
        <x:v>OpenStreetMap Nominatim</x:v>
      </x:c>
      <x:c r="C7" s="176" t="str">
        <x:v>A reproducible map point for the venue address</x:v>
      </x:c>
      <x:c r="D7" s="176" t="str">
        <x:v>Park/facility centroids may differ from the exact playing surface</x:v>
      </x:c>
    </x:row>
    <x:row r="8" ht="42" customHeight="1">
      <x:c r="A8" s="176" t="str">
        <x:v>Basketball detection</x:v>
      </x:c>
      <x:c r="B8" s="176" t="str">
        <x:v>Uploaded courts data.csv (59,704 rows)</x:v>
      </x:c>
      <x:c r="C8" s="176" t="str">
        <x:v>A detected basketball-court point falls near the venue</x:v>
      </x:c>
      <x:c r="D8" s="176" t="str">
        <x:v>The file contains no verified venue names and is not used for pickleball</x:v>
      </x:c>
    </x:row>
    <x:row r="9" ht="42" customHeight="1">
      <x:c r="A9" s="177" t="str">
        <x:v>Live / locals</x:v>
      </x:c>
      <x:c r="B9" s="177" t="str">
        <x:v>Intentionally blank</x:v>
      </x:c>
      <x:c r="C9" s="177" t="str">
        <x:v>Nothing</x:v>
      </x:c>
      <x:c r="D9" s="177" t="str">
        <x:v>Counts must come from real check-ins and local-court selections; seed data never fabricates them</x:v>
      </x:c>
    </x:row>
    <x:row r="10" ht="42" customHeight="1"/>
    <x:row r="11" ht="42" customHeight="1">
      <x:c r="A11" s="47" t="str">
        <x:v>RESEARCH ENTRY POINTS</x:v>
      </x:c>
      <x:c r="B11" s="47"/>
      <x:c r="C11" s="47"/>
      <x:c r="D11" s="47"/>
    </x:row>
    <x:row r="12" ht="42" customHeight="1">
      <x:c r="A12" s="49" t="str">
        <x:v>Market</x:v>
      </x:c>
      <x:c r="B12" s="49" t="str">
        <x:v>Basketball source</x:v>
      </x:c>
      <x:c r="C12" s="49" t="str">
        <x:v>Pickleball source</x:v>
      </x:c>
      <x:c r="D12" s="49" t="str">
        <x:v>Use</x:v>
      </x:c>
    </x:row>
    <x:row r="13" ht="42" customHeight="1">
      <x:c r="A13" s="175" t="str">
        <x:v>New York City</x:v>
      </x:c>
      <x:c r="B13" s="175" t="str">
        <x:v>https://www.nycgovparks.org/facilities/basketball</x:v>
      </x:c>
      <x:c r="C13" s="175" t="str">
        <x:v>https://www.nycgovparks.org/facilities/pickleball</x:v>
      </x:c>
      <x:c r="D13" s="175" t="str">
        <x:v>Official inventory + iconic court pages</x:v>
      </x:c>
    </x:row>
    <x:row r="14" ht="42" customHeight="1">
      <x:c r="A14" s="176" t="str">
        <x:v>Washington DC</x:v>
      </x:c>
      <x:c r="B14" s="176" t="str">
        <x:v>https://dpr.dc.gov/page/athletic-fields-courts</x:v>
      </x:c>
      <x:c r="C14" s="176" t="str">
        <x:v>https://dpr.dc.gov/release/dpr-announces-arrival-pickleball</x:v>
      </x:c>
      <x:c r="D14" s="176" t="str">
        <x:v>DPR facility baseline</x:v>
      </x:c>
    </x:row>
    <x:row r="15" ht="42" customHeight="1">
      <x:c r="A15" s="176" t="str">
        <x:v>Miami</x:v>
      </x:c>
      <x:c r="B15" s="176" t="str">
        <x:v>https://fullcourt.io/miami/courts</x:v>
      </x:c>
      <x:c r="C15" s="176" t="str">
        <x:v>https://www.miamishorestennis.com/</x:v>
      </x:c>
      <x:c r="D15" s="176" t="str">
        <x:v>Community court guide + venue open play</x:v>
      </x:c>
    </x:row>
    <x:row r="16" ht="42" customHeight="1">
      <x:c r="A16" s="176" t="str">
        <x:v>Los Angeles</x:v>
      </x:c>
      <x:c r="B16" s="176" t="str">
        <x:v>https://www.cbsnews.com/losangeles/news/best-outdoor-basketball-courts-in-los-angeles</x:v>
      </x:c>
      <x:c r="C16" s="176" t="str">
        <x:v>https://recreation.parks.lacity.gov/pickleball</x:v>
      </x:c>
      <x:c r="D16" s="176" t="str">
        <x:v>Pickup culture + city program</x:v>
      </x:c>
    </x:row>
    <x:row r="17" ht="42" customHeight="1">
      <x:c r="A17" s="176" t="str">
        <x:v>Houston</x:v>
      </x:c>
      <x:c r="B17" s="176" t="str">
        <x:v>https://www.houstontx.gov/parks/communitycenters/fondecc.html</x:v>
      </x:c>
      <x:c r="C17" s="176" t="str">
        <x:v>https://www.houstontx.gov/parks/pickleballcourts.html</x:v>
      </x:c>
      <x:c r="D17" s="176" t="str">
        <x:v>Iconic rec center + official open play</x:v>
      </x:c>
    </x:row>
    <x:row r="18" ht="42" customHeight="1">
      <x:c r="A18" s="177" t="str">
        <x:v>Austin / Denver</x:v>
      </x:c>
      <x:c r="B18" s="177" t="str">
        <x:v>https://austinparks.org/blog/basketball-courts-austin-texas/</x:v>
      </x:c>
      <x:c r="C18" s="177" t="str">
        <x:v>https://www.austintexas.gov/parks/programs/pickleball</x:v>
      </x:c>
      <x:c r="D18" s="177" t="str">
        <x:v>Local public-court baseline</x:v>
      </x:c>
    </x:row>
  </x:sheetData>
  <x:mergeCells>
    <x:mergeCell ref="A1:D1"/>
    <x:mergeCell ref="A2:D2"/>
    <x:mergeCell ref="A11:D11"/>
  </x:mergeCells>
  <x:pageMargins left="0.7" right="0.7" top="0.75" bottom="0.75" header="0.3" footer="0.3"/>
</x:worksheet>
</file>